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çãoResumo da proposta" sheetId="1" r:id="rId4"/>
    <sheet state="visible" name="Objetivos" sheetId="2" r:id="rId5"/>
    <sheet state="visible" name="Justificativa" sheetId="3" r:id="rId6"/>
    <sheet state="visible" name="Acessibilidade" sheetId="4" r:id="rId7"/>
    <sheet state="visible" name="Democratização de Acesso" sheetId="5" r:id="rId8"/>
    <sheet state="visible" name="Etapa de Trabalho" sheetId="6" r:id="rId9"/>
    <sheet state="visible" name="Ficha Técnica" sheetId="7" r:id="rId10"/>
    <sheet state="visible" name="Sinopse da Obra" sheetId="8" r:id="rId11"/>
    <sheet state="visible" name="Especificações Técnicas do Prod" sheetId="9" r:id="rId12"/>
    <sheet state="visible" name="Descrição de Atividades" sheetId="10" r:id="rId13"/>
    <sheet state="visible" name="Outras Informações" sheetId="11" r:id="rId14"/>
    <sheet state="visible" name="Local de RealizaçãoDeslocamento" sheetId="12" r:id="rId15"/>
    <sheet state="visible" name="Plano de Distribuição" sheetId="13" r:id="rId16"/>
    <sheet state="visible" name="Anexar Documento" sheetId="14" r:id="rId17"/>
    <sheet state="visible" name="Custos vinculados  Remuneração" sheetId="15" r:id="rId18"/>
    <sheet state="visible" name="Custos por ProdutoOrçamento" sheetId="16" r:id="rId19"/>
    <sheet state="hidden" name="Mailing do projeto" sheetId="17" r:id="rId20"/>
    <sheet state="hidden" name="CHECK MINC" sheetId="18" r:id="rId21"/>
    <sheet state="hidden" name="CHECK Cliente" sheetId="19" r:id="rId22"/>
  </sheets>
  <definedNames>
    <definedName name="MINC">#REF!</definedName>
    <definedName hidden="1" localSheetId="11" name="_xlnm._FilterDatabase">'Local de RealizaçãoDeslocamento'!$A$3:$C$13</definedName>
    <definedName hidden="1" localSheetId="13" name="_xlnm._FilterDatabase">'Anexar Documento'!$A$3:$C$6</definedName>
  </definedNames>
  <calcPr/>
  <extLst>
    <ext uri="GoogleSheetsCustomDataVersion2">
      <go:sheetsCustomData xmlns:go="http://customooxmlschemas.google.com/" r:id="rId23" roundtripDataChecksum="v0v5nfhqewqq1ftA/8Oy+SoIzyWa44tVrc8fIUAx+d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ID#AAABoc4cMFA
Mayara Ferreira , NTICS Projetos    (2025-07-29 20:54:40)
Selecionar no sistema</t>
      </text>
    </comment>
    <comment authorId="0" ref="A3">
      <text>
        <t xml:space="preserve">======
ID#AAABoc4cME8
Mayara Ferreira , NTICS Projetos    (2025-07-29 20:52:46)
Selecionar no sistema</t>
      </text>
    </comment>
    <comment authorId="0" ref="A2">
      <text>
        <t xml:space="preserve">======
ID#AAABoc4cME4
Mayara Ferreira , NTICS Projetos    (2025-07-29 20:52:26)
Selecionar no sistema</t>
      </text>
    </comment>
    <comment authorId="0" ref="A4">
      <text>
        <t xml:space="preserve">======
ID#AAABoc4cME0
Mayara Ferreira , NTICS Projetos    (2025-07-29 20:51:27)
No campo Resumo deve-se descrever o objetivo do projeto em no máximo 5 linhas. O texto deve ser conciso e apresentar de forma clara os produtos que compõem a proposta.
Pergunta-chave: O QUÊ? *</t>
      </text>
    </comment>
  </commentList>
  <extLst>
    <ext uri="GoogleSheetsCustomDataVersion2">
      <go:sheetsCustomData xmlns:go="http://customooxmlschemas.google.com/" r:id="rId1" roundtripDataSignature="AMtx7mj/uErzIRj+Ja9rmj3s06si0aIad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ID#AAABoc4cMFE
Mayara Ferreira , NTICS Projetos    (2025-07-29 20:55:11)
O campo Objetivos deve conter os objetivos gerais e específicos de forma separada, especificando cada categoria (geral e específico).
Objetivo Geral
No Objetivo Geral deve-se descrever, resumidamente, qual o principal resultado que o projeto pretende alcançar, qual a sua finalidade.
Pergunta-chave: PARA QUÊ?
Objetivo específico
Nos Objetivos específicos deve-se citar todas as ações que serão realizadas no projeto, ou seja, quais os produtos específicos que serão oferecidos à população. Os objetivos específicos devem ser mensuráveis e devidamente comprovados na prestação de contas.
Pergunta-chave: QUAIS? QUANTOS?</t>
      </text>
    </comment>
  </commentList>
  <extLst>
    <ext uri="GoogleSheetsCustomDataVersion2">
      <go:sheetsCustomData xmlns:go="http://customooxmlschemas.google.com/" r:id="rId1" roundtripDataSignature="AMtx7mi9q9ETJgs77fr+jinYfLHxv965W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ID#AAABoc4cMFI
Mayara Ferreira , NTICS Projetos    (2025-07-29 20:55:41)
Destaque a necessidade do uso do Mecanismo Incentivo a Projetos Culturais para financiamento deste, apresentando em quais incisos do Art. 1º da Lei 8313/91 o projeto se enquadra, bem como quais objetivos do Art. 3º da referida norma serão alcançados.
Pergunta-chave: POR QUE A LEI DE INCENTIVO À CULTURA?</t>
      </text>
    </comment>
  </commentList>
  <extLst>
    <ext uri="GoogleSheetsCustomDataVersion2">
      <go:sheetsCustomData xmlns:go="http://customooxmlschemas.google.com/" r:id="rId1" roundtripDataSignature="AMtx7mi/+qnnysAsgZLSnYGICWySdaTYz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ID#AAABoc4cMFM
Mayara Ferreira , NTICS Projetos    (2025-07-29 20:56:12)
O campo Acessibilidade deve conter informações quanto à Acessibilidade Física e Acessibilidade de Conteúdo.
A Acessibilidade FÍSICA deve oferecer facilitadores para a locomoção no espaço físico (banheiros, rampas, guias tãteis).
A Acessibilidade de CONTEÚDO deve prever medidas para compreensão do projeto (Libras, Braille, audiodescrição, legenda descritiva, visita sensorial).</t>
      </text>
    </comment>
  </commentList>
  <extLst>
    <ext uri="GoogleSheetsCustomDataVersion2">
      <go:sheetsCustomData xmlns:go="http://customooxmlschemas.google.com/" r:id="rId1" roundtripDataSignature="AMtx7mioo73ldijAnRHvWNslxNOs0J/sc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ID#AAABoc4cMFQ
Mayara Ferreira , NTICS Projetos    (2025-07-29 20:56:51)
Descreva no campo Democratização de Acesso a forma de distribuição e comercialização dos produtos da proposta.
Apresente também outras medidas de ampliação de acesso, tais como: ensaio aberto, oficinas paralelas ou transmissão pela internet.</t>
      </text>
    </comment>
  </commentList>
  <extLst>
    <ext uri="GoogleSheetsCustomDataVersion2">
      <go:sheetsCustomData xmlns:go="http://customooxmlschemas.google.com/" r:id="rId1" roundtripDataSignature="AMtx7mgL8/lFnHccsmkhE/A4WO4M5+Oba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ID#AAABoc4cMFU
Mayara Ferreira , NTICS Projetos    (2025-07-29 20:57:22)
Divida as etapas do projeto em 'Pré-produção', 'Execução' e 'Pós-produção', estimando - em dias/semanas/meses - a duração de cada etapa. *</t>
      </text>
    </comment>
  </commentList>
  <extLst>
    <ext uri="GoogleSheetsCustomDataVersion2">
      <go:sheetsCustomData xmlns:go="http://customooxmlschemas.google.com/" r:id="rId1" roundtripDataSignature="AMtx7mgQU0IHeF2uetCtlkw6/G1ziAbJn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ID#AAABoc4cMFY
Mayara Ferreira , NTICS Projetos    (2025-07-29 20:57:39)
Descreva com detalhes qual atividade (mesmo que voluntária) o dirigente ou a instituição proponente realizará no projeto.
Apresente também currículo resumido dos principais participantes. *</t>
      </text>
    </comment>
  </commentList>
  <extLst>
    <ext uri="GoogleSheetsCustomDataVersion2">
      <go:sheetsCustomData xmlns:go="http://customooxmlschemas.google.com/" r:id="rId1" roundtripDataSignature="AMtx7mjuuLF5dPgS7HTa8WBpJrs7fJl2Y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ID#AAABoc4cMFc
Mayara Ferreira , NTICS Projetos    (2025-07-29 20:58:06)
Insira o conteúdo de todos os produtos do projeto que necessitam de um breve resumo em relação ao seu assunto, por exemplo: seminários, palestras, livros, espetáculo de circo, peça teatral, espetáculo de dança, performance, classificação indicativa etária.</t>
      </text>
    </comment>
  </commentList>
  <extLst>
    <ext uri="GoogleSheetsCustomDataVersion2">
      <go:sheetsCustomData xmlns:go="http://customooxmlschemas.google.com/" r:id="rId1" roundtripDataSignature="AMtx7mjwLLctwEMZGEex09W2nEJmTkfyT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ID#AAABoc4cMFg
Mayara Ferreira , NTICS Projetos    (2025-07-29 20:58:34)
Insira detalhamento técnico de todos os produtos: paginação, duração, material, projeto pedagógico.</t>
      </text>
    </comment>
  </commentList>
  <extLst>
    <ext uri="GoogleSheetsCustomDataVersion2">
      <go:sheetsCustomData xmlns:go="http://customooxmlschemas.google.com/" r:id="rId1" roundtripDataSignature="AMtx7mhpFkhbgaUrs7lZ9jMIGMULhwgyX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ID#AAABoc4cMFk
Mayara Ferreira , NTICS Projetos    (2025-07-29 20:58:51)
Apresente nesse campo detalhes de sua atividade cultural que não foram mencionados nos campos anteriores, como a programação do evento por exemplo.</t>
      </text>
    </comment>
  </commentList>
  <extLst>
    <ext uri="GoogleSheetsCustomDataVersion2">
      <go:sheetsCustomData xmlns:go="http://customooxmlschemas.google.com/" r:id="rId1" roundtripDataSignature="AMtx7mhzZ4nT31X+oyx/oGHqkYNMztkTq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ID#AAABoc4cMFo
Mayara Ferreira , NTICS Projetos    (2025-07-29 20:59:14)
Apresente neste campo informações complementares que não tenham sido abordadas nos campos anteriores, mas que são significativas para a avaliação da proposta.</t>
      </text>
    </comment>
  </commentList>
  <extLst>
    <ext uri="GoogleSheetsCustomDataVersion2">
      <go:sheetsCustomData xmlns:go="http://customooxmlschemas.google.com/" r:id="rId1" roundtripDataSignature="AMtx7mgrRAs11ULE894D+ZB9wdD+3bOmf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======
ID#AAABoc5W0zo
Mayara Ferreira , NTICS Projetos    (2025-07-29 21:00:38)
Instruções:
Esta tela deverá ser preenchida com um ou mais Deslocamentos da proposta cultural.
Se o Deslocamento for no exterior, selecione apenas o país.
Se o Deslocamento for no Brasil, selecione a UF e a Cidade.</t>
      </text>
    </comment>
    <comment authorId="0" ref="A1">
      <text>
        <t xml:space="preserve">======
ID#AAABoc4cMFs
Mayara Ferreira , NTICS Projetos    (2025-07-29 21:00:16)
Instruções:
Esta tela deverá ser preenchida com um ou mais locais realização da proposta cultural.
Se o local de realização for no exterior, selecione o país.
Se o local de realização for no Brasil, selecione a UF e a Cidade.</t>
      </text>
    </comment>
  </commentList>
  <extLst>
    <ext uri="GoogleSheetsCustomDataVersion2">
      <go:sheetsCustomData xmlns:go="http://customooxmlschemas.google.com/" r:id="rId1" roundtripDataSignature="AMtx7mjqHsoj9JpF9W1VJlzmWSWJxcU5Hw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ID#AAABoc5W0zs
Mayara Ferreira , NTICS Projetos    (2025-07-29 21:04:40)
Cadastrar produtos de acordo com itens a serem selecionados no sistema. 
Detalhar os produtos (definir se será gratuito, valores caso não seja, quantidade de ingressos...)</t>
      </text>
    </comment>
  </commentList>
  <extLst>
    <ext uri="GoogleSheetsCustomDataVersion2">
      <go:sheetsCustomData xmlns:go="http://customooxmlschemas.google.com/" r:id="rId1" roundtripDataSignature="AMtx7mhR5/egTzRaKRIAWz4Rpa3UP19ixw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ID#AAABoc5W0zw
Mayara Ferreira , NTICS Projetos    (2025-07-29 21:07:52)
Anexar documentos obrigatórios do proponente.
Anexar documentos para a proposta de acordo com o produto cadastrado
Pode consultar os documentos tanto do proponente quanto da proposta na Instrução normativa vigente 
IN 2025 - https://www.in.gov.br/en/web/dou/-/instrucao-normativa-minc-n-23-de-5-de-fevereiro-de-2025-611099887</t>
      </text>
    </comment>
  </commentList>
  <extLst>
    <ext uri="GoogleSheetsCustomDataVersion2">
      <go:sheetsCustomData xmlns:go="http://customooxmlschemas.google.com/" r:id="rId1" roundtripDataSignature="AMtx7mgtkGYkbw8t8YRlzeIv1r583+6DGA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5">
      <text>
        <t xml:space="preserve">======
ID#AAABoc5W0z0
Mayara Ferreira , NTICS Projetos    (2025-07-29 21:20:41)
Aqui você pode definir os percentuais para cálculo dos Custos Vinculados / Remuneração do seu projeto, essas escolhas irão influenciar no orçamento do seu projeto.
Ao clicar em salvar, o sistema irá atualizar sua planilha orçamentária com os novos cálculos.</t>
      </text>
    </comment>
  </commentList>
  <extLst>
    <ext uri="GoogleSheetsCustomDataVersion2">
      <go:sheetsCustomData xmlns:go="http://customooxmlschemas.google.com/" r:id="rId1" roundtripDataSignature="AMtx7mjmIJ31urPw6l6UZSiZ3BwPoTS7gQ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ID#AAABoc5W0z4
Mayara Ferreira , NTICS Projetos    (2025-07-29 21:26:09)
Definir o planilha orçamentária do projeto.
Selecionar itens definir quantidades, ocorrências, valor e justificativa</t>
      </text>
    </comment>
  </commentList>
  <extLst>
    <ext uri="GoogleSheetsCustomDataVersion2">
      <go:sheetsCustomData xmlns:go="http://customooxmlschemas.google.com/" r:id="rId1" roundtripDataSignature="AMtx7mgduhAfT+hwddBP1uFT4x2cH4ILuA=="/>
    </ext>
  </extLst>
</comments>
</file>

<file path=xl/sharedStrings.xml><?xml version="1.0" encoding="utf-8"?>
<sst xmlns="http://schemas.openxmlformats.org/spreadsheetml/2006/main" count="1798" uniqueCount="254">
  <si>
    <t>Nome da Proposta Cultural:</t>
  </si>
  <si>
    <t>Tipicidade e seus limites orçamentários:</t>
  </si>
  <si>
    <t>Tipologia:</t>
  </si>
  <si>
    <t>RESUMO</t>
  </si>
  <si>
    <t>Agência Bancária:</t>
  </si>
  <si>
    <t>Plano Execução Imediata:</t>
  </si>
  <si>
    <t>Projeto Normal (10% da captação)</t>
  </si>
  <si>
    <t>Data de Início:</t>
  </si>
  <si>
    <t>Data Final:</t>
  </si>
  <si>
    <t>Prorrogação automática?</t>
  </si>
  <si>
    <t>Sim</t>
  </si>
  <si>
    <t>OBJETIVO</t>
  </si>
  <si>
    <t>JUSTIFICATIVA</t>
  </si>
  <si>
    <t>ACESSIBILIDADE</t>
  </si>
  <si>
    <t>DEMOCRATIZAÇÃO DE ACESSO</t>
  </si>
  <si>
    <t>ETAPA DE TRABALHO</t>
  </si>
  <si>
    <t>FICHA TÉCNICA</t>
  </si>
  <si>
    <t>SINOPSE DA OBRA</t>
  </si>
  <si>
    <t>ESPECIFICAÇÕES TÉCNICAS DO PRODUTO</t>
  </si>
  <si>
    <t>DESCRIÇÃO DE ATIVIDADES</t>
  </si>
  <si>
    <t>OUTRAS INFORMAÇÕES</t>
  </si>
  <si>
    <t>Outras Informações - 2ª EDIÇÃO</t>
  </si>
  <si>
    <t>Esta é a segunda edição do FESTIVAL CINEGASTROARTE que usa a gastronomia como tema para apresentar atividades culturais e artisticas para a população atendida. Fizemos o primeiro festival através do PRONAC 180907 o qual já prestamos contas. Não é um "festival gastronomico". É um festival de arte e cultura que tem como tema a gastronomia com o objetivo de despertar a atenção para a arte através de um tema comum a qualquer cidadão, a comida.</t>
  </si>
  <si>
    <t>LOCAL DE REALIZAÇÃO</t>
  </si>
  <si>
    <t>País</t>
  </si>
  <si>
    <t>UF</t>
  </si>
  <si>
    <t>Município</t>
  </si>
  <si>
    <t>Brasil</t>
  </si>
  <si>
    <t>DESLOCAMENTO</t>
  </si>
  <si>
    <t xml:space="preserve">Origem </t>
  </si>
  <si>
    <t>PLANO DE DISTRIBUIÇÃO</t>
  </si>
  <si>
    <t>Nome do Produto</t>
  </si>
  <si>
    <t>Área</t>
  </si>
  <si>
    <t>Segmento</t>
  </si>
  <si>
    <t>Principal</t>
  </si>
  <si>
    <t>Tipo de Venda</t>
  </si>
  <si>
    <t>Tipo do local de apresentação</t>
  </si>
  <si>
    <t>Distribuição Gratuita?</t>
  </si>
  <si>
    <t>Espaço Público</t>
  </si>
  <si>
    <t>Categoria</t>
  </si>
  <si>
    <t>Quantidade</t>
  </si>
  <si>
    <t>Divulgação</t>
  </si>
  <si>
    <t>Patrocinador</t>
  </si>
  <si>
    <t>População</t>
  </si>
  <si>
    <t>Ingresso</t>
  </si>
  <si>
    <t>Fechado</t>
  </si>
  <si>
    <t>Beneficiário</t>
  </si>
  <si>
    <t>ANEXAR DOCUMENTOS</t>
  </si>
  <si>
    <t>Tipo do documento</t>
  </si>
  <si>
    <t>Arquivo</t>
  </si>
  <si>
    <t>Link</t>
  </si>
  <si>
    <t>Proposta</t>
  </si>
  <si>
    <t>Proposta Museográfica</t>
  </si>
  <si>
    <t>Plano Pedagógico</t>
  </si>
  <si>
    <t>CUSTOS VINCULADOS</t>
  </si>
  <si>
    <t xml:space="preserve">Custos de acessibilidade, comunicação e divulgação acessíveis
</t>
  </si>
  <si>
    <t>Percentual padrão: 20%</t>
  </si>
  <si>
    <t>Custos de Administração</t>
  </si>
  <si>
    <t>Percentual padrão: 15%</t>
  </si>
  <si>
    <t>Remuneração para captação de recursos</t>
  </si>
  <si>
    <t>Percentual padrão: 10%
Limite: R$ 150.000,00</t>
  </si>
  <si>
    <t>PLANILHA ORÇAMENTÁRIA</t>
  </si>
  <si>
    <t>ORÇAMENTO: R$995.336,10</t>
  </si>
  <si>
    <t>Exposição Cultural / de Artes</t>
  </si>
  <si>
    <t>PR - Paranaguá</t>
  </si>
  <si>
    <t>Produção / Execução</t>
  </si>
  <si>
    <t>Item</t>
  </si>
  <si>
    <t>Unidade</t>
  </si>
  <si>
    <t>Dias</t>
  </si>
  <si>
    <t>Qtde</t>
  </si>
  <si>
    <t>Ocor.</t>
  </si>
  <si>
    <t>Vl. Unitário</t>
  </si>
  <si>
    <t>Vl. Solicitado</t>
  </si>
  <si>
    <t>Justf. do Proponente</t>
  </si>
  <si>
    <t>Aluguel de container</t>
  </si>
  <si>
    <t>Verba</t>
  </si>
  <si>
    <t>Locação do container para itinerar a exposição considerando o dia da exposição + os dias para personalização</t>
  </si>
  <si>
    <t>Cenografia/material/confecção</t>
  </si>
  <si>
    <t>Verba utilizada para a personalização do container materiais + mão de obra</t>
  </si>
  <si>
    <t>Direitos autorais</t>
  </si>
  <si>
    <t>Projeto</t>
  </si>
  <si>
    <t>Liberação dos direitos  autorais das imagens para uso na exposição.</t>
  </si>
  <si>
    <t>Fotografia artística (fotógrafo, tratamento, revelação, etc.)</t>
  </si>
  <si>
    <t>Montagem das imagens para a exposição. Gastos contemplam tratamento das imagens, impressão da imagem em
 papel adesivo a prova d'água com moldura</t>
  </si>
  <si>
    <t>Monitores</t>
  </si>
  <si>
    <t>Dia</t>
  </si>
  <si>
    <t>Monitores para acompanhar o público nos dias da exposição. Optamos por manter o mesmo valor para todas as cidades, pois estabelecemos um acordo com um fornecedor parceiro que define um preço fixo por cidade.</t>
  </si>
  <si>
    <t>Montagem e desmontagem</t>
  </si>
  <si>
    <t>Montagem da exposição. Estrutura, sinalização, montagem, desmontagem.</t>
  </si>
  <si>
    <t>Tendas</t>
  </si>
  <si>
    <t>04 Tendas para montar as salas para os participantes</t>
  </si>
  <si>
    <t>Transporte de material</t>
  </si>
  <si>
    <t>Transporte do container para os locais onde acontecerão as apresentações.
Será locado um caminhão (cavalo mecânico)</t>
  </si>
  <si>
    <t>Totais</t>
  </si>
  <si>
    <t>RJ - Rio de Janeiro</t>
  </si>
  <si>
    <t>Optamos por manter o mesmo valor para todas as cidades, pois estabelecemos um acordo com um fornecedor parceiro que define um preço fixo por cidade.</t>
  </si>
  <si>
    <t>PRODUTO : Espetáculo de Artes Cênicas</t>
  </si>
  <si>
    <t>Pré-Produção / Preparação</t>
  </si>
  <si>
    <t>Coordenação geral</t>
  </si>
  <si>
    <t>Mês</t>
  </si>
  <si>
    <t>Coordenador do projeto, que participará de todas as etapas do projeto e cuidará da logística, para que a proposta executada cumpra todos os requisitos do projeto aprovado pelo Minc.</t>
  </si>
  <si>
    <t>Designer gráfico</t>
  </si>
  <si>
    <t>Responsável pela criação do design do projeto e toda a sua comunicação visual.</t>
  </si>
  <si>
    <t>Produtor executivo</t>
  </si>
  <si>
    <t>Responsável por toda a produção. Contratação de serviços e profissionais.</t>
  </si>
  <si>
    <t>Assistente de produção</t>
  </si>
  <si>
    <t>Assistente de produção que acompanhará a montagem dos espetáculos, contatos na cidade etc.</t>
  </si>
  <si>
    <t>Camarim</t>
  </si>
  <si>
    <t>Verba para a montagem de lanches e água para o camarim.</t>
  </si>
  <si>
    <t>Cenário</t>
  </si>
  <si>
    <t>Verba para a elaboração, compra de materiais e construção do cenário.</t>
  </si>
  <si>
    <t>Figurino</t>
  </si>
  <si>
    <t>Confecção dos figurinos para os espetáculos.</t>
  </si>
  <si>
    <t>Grupo teatral</t>
  </si>
  <si>
    <t>Cachê</t>
  </si>
  <si>
    <t>Artistas do grupo de teatro que farão as apresentações.</t>
  </si>
  <si>
    <t>Hospedagem sem alimentação</t>
  </si>
  <si>
    <t>Hospedagem sem alimentação para a equipe e artistas.</t>
  </si>
  <si>
    <t>Monitores para acompanhar o público. Optamos por manter o mesmo valor para todas as cidades, pois estabelecemos um acordo com um fornecedor parceiro que define um preço fixo por cidade.</t>
  </si>
  <si>
    <t>Passagens Aéreas
 (Descrever os
 trechos na tela de deslocamentos)</t>
  </si>
  <si>
    <t>Verba para passagens da equipe (ida e volta)</t>
  </si>
  <si>
    <t>Refeição</t>
  </si>
  <si>
    <t xml:space="preserve">Alimentação para equipe. </t>
  </si>
  <si>
    <t>Sonorização</t>
  </si>
  <si>
    <t>Serviço</t>
  </si>
  <si>
    <t>Sonorização para as apresentações.</t>
  </si>
  <si>
    <t>Transporte Local / Locação de
 Automóvel / Combustível</t>
  </si>
  <si>
    <t>Verba para transporte da equipe e equipamentos.</t>
  </si>
  <si>
    <t xml:space="preserve">Montagem e desmontagem	
</t>
  </si>
  <si>
    <t>Alimentação para equipe. Optamos por manter o valor de R$ 100,00 para todas as cidades, com o objetivo de assegurar uma abordagem uniforme para todos os participantes. Ao manter um valor fixo em todas as localidades, garantimos que todos tenham acesso às mesmas condições e benefícios, independentemente de sua localização.</t>
  </si>
  <si>
    <t>Assessoria Contábil e Juridica</t>
  </si>
  <si>
    <t>Advogado</t>
  </si>
  <si>
    <t>Assessoria jurídica.</t>
  </si>
  <si>
    <t>Contador</t>
  </si>
  <si>
    <t>Assessoria contábil</t>
  </si>
  <si>
    <t>PRODUTO: Curso/Oficina/Capacitação - Artes Cênicas</t>
  </si>
  <si>
    <t>Coordenação pedagógica</t>
  </si>
  <si>
    <t>Responsável pela coordenação e construção do plano pedagógico.</t>
  </si>
  <si>
    <t>Fotógrafo</t>
  </si>
  <si>
    <t>Profissional responsável por fazer o registro fotográfico das atividades</t>
  </si>
  <si>
    <t>Material de apoio pedagógico</t>
  </si>
  <si>
    <t>Material de apoio pedagógico que
 será utilizado nas oficinas.</t>
  </si>
  <si>
    <t>Monitores para auxiliar os oficineiros na condução das aulas.</t>
  </si>
  <si>
    <t>Oficineiro</t>
  </si>
  <si>
    <t>Responsáveis pela execução do plano pedagógico.</t>
  </si>
  <si>
    <t>Uniforme</t>
  </si>
  <si>
    <t>Uniforme para equipe. Camisetas, macacões e bonés + personalização.</t>
  </si>
  <si>
    <t>CUSTO DO PROJETO</t>
  </si>
  <si>
    <t>Administração do Projeto</t>
  </si>
  <si>
    <t>Custos Vinculados</t>
  </si>
  <si>
    <t>Custos de acessibilidade, comunicação e divulgação acessíveis</t>
  </si>
  <si>
    <t>Item orçamentário recalculado automaticamente conforme o percentual solicitado pelo proponente</t>
  </si>
  <si>
    <t>CUSTO P\ CALCULO CAPTAÇÃO</t>
  </si>
  <si>
    <t>Captação de Recursos</t>
  </si>
  <si>
    <t>TOTAL FINAL</t>
  </si>
  <si>
    <t>verba</t>
  </si>
  <si>
    <t>unidade</t>
  </si>
  <si>
    <t>Manutenção dos figurinos para os espetáculos.</t>
  </si>
  <si>
    <t>cachê</t>
  </si>
  <si>
    <t>Hospedagem s\alimentação</t>
  </si>
  <si>
    <t>Iluminador</t>
  </si>
  <si>
    <t>serviço</t>
  </si>
  <si>
    <t>Iluminação para as apresentações.</t>
  </si>
  <si>
    <t>Interprete de Libras</t>
  </si>
  <si>
    <t>dia</t>
  </si>
  <si>
    <t>Interprete de Libras que acompanharão todo o espetáculo.</t>
  </si>
  <si>
    <t xml:space="preserve">Monitores para acompanhar o público. </t>
  </si>
  <si>
    <t>Transporte Local / Locação de Automóvel / Combustível</t>
  </si>
  <si>
    <t>SENADOR CANEDO</t>
  </si>
  <si>
    <t>Iluminação</t>
  </si>
  <si>
    <t>Monitor</t>
  </si>
  <si>
    <t>Passagens Aéreas</t>
  </si>
  <si>
    <t>Transporte aéreo da equipe.</t>
  </si>
  <si>
    <t>PONTA GROSSA</t>
  </si>
  <si>
    <t>MANAUS</t>
  </si>
  <si>
    <t>SÃO PAULO</t>
  </si>
  <si>
    <t>PRODUTO : EXPOSIÇÃO DE ARTES</t>
  </si>
  <si>
    <t>Aluguel container</t>
  </si>
  <si>
    <t>mês</t>
  </si>
  <si>
    <t>Locação do container para a montagem da exposição</t>
  </si>
  <si>
    <t xml:space="preserve">Curador </t>
  </si>
  <si>
    <t>Curador que será contratado para fazer a seleção e montagem da exposição.</t>
  </si>
  <si>
    <t>projeto</t>
  </si>
  <si>
    <t>Liberação dos direitos autorais das imagens para uso na exposição.</t>
  </si>
  <si>
    <t>Fotografia Artística</t>
  </si>
  <si>
    <t>Montagem das imagens para a exposição. Tratamento e Impressão.</t>
  </si>
  <si>
    <t>Impressão em Braille</t>
  </si>
  <si>
    <t>Sinalização da descrição e informações das imagens em Braille</t>
  </si>
  <si>
    <t>Interprete de Libras a disposição para o público da exposição.</t>
  </si>
  <si>
    <t>Material de consumo</t>
  </si>
  <si>
    <t>Materiais para a estrutura de madeira que será montada no container para instalação da exposição e manutenção da estrutura após o transporte.</t>
  </si>
  <si>
    <t>Monitores para acompanhar o público nos dias da exposição.</t>
  </si>
  <si>
    <t>Montagem da exposição</t>
  </si>
  <si>
    <t>Montagem da exposição. Estrutura, sinalização, montagem no container e desmontagem no final do projeto</t>
  </si>
  <si>
    <t>Projeto expográfico</t>
  </si>
  <si>
    <t>projeto e design da exposição.</t>
  </si>
  <si>
    <t xml:space="preserve">MONTE MOR </t>
  </si>
  <si>
    <t>Transporte do container</t>
  </si>
  <si>
    <t>SÃO CARLOS</t>
  </si>
  <si>
    <t>ANGATUBA</t>
  </si>
  <si>
    <t>CAJAMAR</t>
  </si>
  <si>
    <t>CAMPINAS</t>
  </si>
  <si>
    <t>SANTO ANDRÉ</t>
  </si>
  <si>
    <t>PRODUTO : OFICINAS</t>
  </si>
  <si>
    <t>Coordenador pedagógico</t>
  </si>
  <si>
    <t xml:space="preserve">Responsável pela coordenação e construção do plano pedagógico. </t>
  </si>
  <si>
    <t>Interprete de Libras a disposição para o público das oficinas</t>
  </si>
  <si>
    <t>Material de apoio pedagógico que será utilizado nas oficinas.</t>
  </si>
  <si>
    <t>MONTE MOR</t>
  </si>
  <si>
    <t>PRODUTO : PALESTRAS</t>
  </si>
  <si>
    <t>Palestrante</t>
  </si>
  <si>
    <t>Palestrante contratado para a palestra.</t>
  </si>
  <si>
    <t>Locação de equipamento</t>
  </si>
  <si>
    <t>Locação de equipamento para exibição das palestras</t>
  </si>
  <si>
    <t>Monitor para auxiliar com o público.</t>
  </si>
  <si>
    <t>Interprete de Libras que acompanhará toda a palestra</t>
  </si>
  <si>
    <t xml:space="preserve">SANTO ANDRÉ </t>
  </si>
  <si>
    <t>PRODUTO : WORKSHOP</t>
  </si>
  <si>
    <t>Palestrante contratado para o workshop.</t>
  </si>
  <si>
    <t>Interprete de Libras que acompanhará toda workshop</t>
  </si>
  <si>
    <t>Administração</t>
  </si>
  <si>
    <t>VARZEA GRANDE</t>
  </si>
  <si>
    <t>Não Informado</t>
  </si>
  <si>
    <t>Custos de Divulgação</t>
  </si>
  <si>
    <t>Mailing</t>
  </si>
  <si>
    <t>Cidade</t>
  </si>
  <si>
    <t>Nome</t>
  </si>
  <si>
    <t>Instituição/Local</t>
  </si>
  <si>
    <t>Função</t>
  </si>
  <si>
    <t>Telefone</t>
  </si>
  <si>
    <t>E-mail</t>
  </si>
  <si>
    <t>Projeto anterior de referência (se tiver)</t>
  </si>
  <si>
    <t>Check Executor</t>
  </si>
  <si>
    <t>Check Qualidade</t>
  </si>
  <si>
    <t>Produto Cultural</t>
  </si>
  <si>
    <t>FALSO</t>
  </si>
  <si>
    <t>Workshop</t>
  </si>
  <si>
    <t>Régua do projeto</t>
  </si>
  <si>
    <t>Peça divulgação (Produto Cultural)</t>
  </si>
  <si>
    <t>Painel de Abertura Exposição</t>
  </si>
  <si>
    <t>Oficinas</t>
  </si>
  <si>
    <t>Exposição de Arte</t>
  </si>
  <si>
    <t>Espetáculos de arte cênicas</t>
  </si>
  <si>
    <t>Total Geral</t>
  </si>
  <si>
    <t>COUNTA of Check Executor</t>
  </si>
  <si>
    <t>Evidências</t>
  </si>
  <si>
    <t>Entrega de um site com informação básica do projeto</t>
  </si>
  <si>
    <t>Site do projeto</t>
  </si>
  <si>
    <t>Entrega de um site com informação básica do projeto Total</t>
  </si>
  <si>
    <t>Foto do teatro acontecendo</t>
  </si>
  <si>
    <t>Teatro</t>
  </si>
  <si>
    <t>Foto do teatro acontecendo Total</t>
  </si>
  <si>
    <t>(vazio)</t>
  </si>
  <si>
    <t>(vazio)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</si>
</sst>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"/>
    <numFmt numFmtId="165" formatCode="dd/mm/yyyy"/>
    <numFmt numFmtId="166" formatCode="d/m/yyyy"/>
    <numFmt numFmtId="167" formatCode="&quot;R$&quot;\ #,##0.00;[Red]\-&quot;R$&quot;\ #,##0.00"/>
    <numFmt numFmtId="168" formatCode="[$R$ -416]#,##0.00"/>
  </numFmts>
  <fonts count="19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4.0"/>
      <color rgb="FFFFFFFF"/>
      <name val="Arial"/>
    </font>
    <font>
      <b/>
      <sz val="13.0"/>
      <color rgb="FF000000"/>
      <name val="Arial"/>
    </font>
    <font>
      <sz val="12.0"/>
      <color rgb="FF000000"/>
      <name val="Arial"/>
    </font>
    <font/>
    <font>
      <color theme="1"/>
      <name val="Arial"/>
    </font>
    <font>
      <sz val="13.0"/>
      <color rgb="FF000000"/>
      <name val="Arial"/>
    </font>
    <font>
      <b/>
      <sz val="10.0"/>
      <color rgb="FF21212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color theme="1"/>
      <name val="Arial"/>
    </font>
    <font>
      <sz val="10.0"/>
      <color theme="1"/>
      <name val="Arial"/>
    </font>
    <font>
      <b/>
      <sz val="16.0"/>
      <color theme="1"/>
      <name val="Roboto"/>
    </font>
    <font>
      <sz val="12.0"/>
      <color theme="1"/>
      <name val="Roboto"/>
    </font>
    <font>
      <b/>
      <sz val="12.0"/>
      <color theme="1"/>
      <name val="Roboto"/>
    </font>
    <font>
      <color theme="1"/>
      <name val="Times New Roman"/>
    </font>
    <font>
      <b/>
      <sz val="14.0"/>
      <color theme="1"/>
      <name val="Roboto"/>
    </font>
    <font>
      <b/>
      <sz val="12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CECEC"/>
        <bgColor rgb="FFECECEC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</border>
    <border>
      <left style="thin">
        <color rgb="FFFFFFFF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0" fontId="6" numFmtId="0" xfId="0" applyAlignment="1" applyBorder="1" applyFont="1">
      <alignment shrinkToFit="0" vertical="top" wrapText="1"/>
    </xf>
    <xf borderId="0" fillId="0" fontId="4" numFmtId="164" xfId="0" applyAlignment="1" applyFont="1" applyNumberFormat="1">
      <alignment horizontal="left" vertical="center"/>
    </xf>
    <xf borderId="0" fillId="0" fontId="7" numFmtId="165" xfId="0" applyAlignment="1" applyFont="1" applyNumberFormat="1">
      <alignment horizontal="left" vertical="center"/>
    </xf>
    <xf borderId="0" fillId="0" fontId="7" numFmtId="166" xfId="0" applyAlignment="1" applyFont="1" applyNumberFormat="1">
      <alignment horizontal="left" vertical="center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8" fillId="0" fontId="5" numFmtId="0" xfId="0" applyBorder="1" applyFont="1"/>
    <xf borderId="7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8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1"/>
    </xf>
    <xf borderId="7" fillId="3" fontId="6" numFmtId="0" xfId="0" applyAlignment="1" applyBorder="1" applyFill="1" applyFont="1">
      <alignment shrinkToFit="0" vertical="top" wrapText="1"/>
    </xf>
    <xf borderId="0" fillId="3" fontId="6" numFmtId="0" xfId="0" applyAlignment="1" applyFont="1">
      <alignment shrinkToFit="0" vertical="top" wrapText="1"/>
    </xf>
    <xf borderId="8" fillId="3" fontId="6" numFmtId="0" xfId="0" applyAlignment="1" applyBorder="1" applyFont="1">
      <alignment shrinkToFit="0" vertical="top" wrapText="1"/>
    </xf>
    <xf borderId="14" fillId="0" fontId="5" numFmtId="0" xfId="0" applyBorder="1" applyFont="1"/>
    <xf borderId="7" fillId="4" fontId="6" numFmtId="0" xfId="0" applyAlignment="1" applyBorder="1" applyFill="1" applyFont="1">
      <alignment shrinkToFit="0" vertical="top" wrapText="1"/>
    </xf>
    <xf borderId="0" fillId="5" fontId="8" numFmtId="0" xfId="0" applyAlignment="1" applyFill="1" applyFont="1">
      <alignment horizontal="left"/>
    </xf>
    <xf borderId="0" fillId="3" fontId="9" numFmtId="0" xfId="0" applyAlignment="1" applyFont="1">
      <alignment horizontal="center"/>
    </xf>
    <xf borderId="0" fillId="3" fontId="9" numFmtId="0" xfId="0" applyAlignment="1" applyFont="1">
      <alignment horizontal="left"/>
    </xf>
    <xf borderId="15" fillId="5" fontId="8" numFmtId="0" xfId="0" applyAlignment="1" applyBorder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5" fontId="8" numFmtId="0" xfId="0" applyAlignment="1" applyBorder="1" applyFont="1">
      <alignment horizontal="left"/>
    </xf>
    <xf borderId="18" fillId="3" fontId="9" numFmtId="0" xfId="0" applyAlignment="1" applyBorder="1" applyFont="1">
      <alignment horizontal="center"/>
    </xf>
    <xf borderId="18" fillId="3" fontId="9" numFmtId="0" xfId="0" applyAlignment="1" applyBorder="1" applyFont="1">
      <alignment horizontal="left"/>
    </xf>
    <xf borderId="19" fillId="5" fontId="8" numFmtId="0" xfId="0" applyAlignment="1" applyBorder="1" applyFont="1">
      <alignment horizontal="left"/>
    </xf>
    <xf borderId="20" fillId="5" fontId="8" numFmtId="0" xfId="0" applyAlignment="1" applyBorder="1" applyFont="1">
      <alignment horizontal="left"/>
    </xf>
    <xf borderId="21" fillId="5" fontId="8" numFmtId="0" xfId="0" applyAlignment="1" applyBorder="1" applyFont="1">
      <alignment horizontal="left"/>
    </xf>
    <xf borderId="22" fillId="6" fontId="9" numFmtId="0" xfId="0" applyAlignment="1" applyBorder="1" applyFill="1" applyFont="1">
      <alignment horizontal="left"/>
    </xf>
    <xf borderId="18" fillId="6" fontId="9" numFmtId="0" xfId="0" applyAlignment="1" applyBorder="1" applyFont="1">
      <alignment horizontal="left"/>
    </xf>
    <xf borderId="23" fillId="6" fontId="9" numFmtId="0" xfId="0" applyAlignment="1" applyBorder="1" applyFont="1">
      <alignment horizontal="left"/>
    </xf>
    <xf borderId="24" fillId="3" fontId="9" numFmtId="0" xfId="0" applyAlignment="1" applyBorder="1" applyFont="1">
      <alignment horizontal="left"/>
    </xf>
    <xf borderId="25" fillId="0" fontId="5" numFmtId="0" xfId="0" applyBorder="1" applyFont="1"/>
    <xf borderId="22" fillId="5" fontId="10" numFmtId="0" xfId="0" applyAlignment="1" applyBorder="1" applyFont="1">
      <alignment horizontal="center"/>
    </xf>
    <xf borderId="18" fillId="5" fontId="10" numFmtId="0" xfId="0" applyAlignment="1" applyBorder="1" applyFont="1">
      <alignment horizontal="left"/>
    </xf>
    <xf borderId="23" fillId="5" fontId="10" numFmtId="0" xfId="0" applyAlignment="1" applyBorder="1" applyFont="1">
      <alignment horizontal="center"/>
    </xf>
    <xf borderId="22" fillId="0" fontId="6" numFmtId="0" xfId="0" applyBorder="1" applyFont="1"/>
    <xf borderId="18" fillId="0" fontId="6" numFmtId="0" xfId="0" applyBorder="1" applyFont="1"/>
    <xf borderId="23" fillId="0" fontId="6" numFmtId="0" xfId="0" applyBorder="1" applyFont="1"/>
    <xf borderId="22" fillId="5" fontId="11" numFmtId="0" xfId="0" applyBorder="1" applyFont="1"/>
    <xf borderId="18" fillId="5" fontId="11" numFmtId="0" xfId="0" applyBorder="1" applyFont="1"/>
    <xf borderId="26" fillId="0" fontId="6" numFmtId="0" xfId="0" applyBorder="1" applyFont="1"/>
    <xf borderId="27" fillId="0" fontId="5" numFmtId="0" xfId="0" applyBorder="1" applyFont="1"/>
    <xf borderId="28" fillId="5" fontId="11" numFmtId="0" xfId="0" applyAlignment="1" applyBorder="1" applyFont="1">
      <alignment horizontal="center" vertical="bottom"/>
    </xf>
    <xf borderId="6" fillId="5" fontId="11" numFmtId="0" xfId="0" applyAlignment="1" applyBorder="1" applyFont="1">
      <alignment vertical="bottom"/>
    </xf>
    <xf borderId="11" fillId="5" fontId="11" numFmtId="0" xfId="0" applyAlignment="1" applyBorder="1" applyFont="1">
      <alignment horizontal="center" vertical="bottom"/>
    </xf>
    <xf borderId="28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28" fillId="5" fontId="11" numFmtId="0" xfId="0" applyAlignment="1" applyBorder="1" applyFont="1">
      <alignment vertical="bottom"/>
    </xf>
    <xf borderId="11" fillId="0" fontId="6" numFmtId="0" xfId="0" applyAlignment="1" applyBorder="1" applyFont="1">
      <alignment horizontal="right" vertical="bottom"/>
    </xf>
    <xf borderId="12" fillId="0" fontId="6" numFmtId="0" xfId="0" applyAlignment="1" applyBorder="1" applyFont="1">
      <alignment vertical="bottom"/>
    </xf>
    <xf borderId="28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right" vertical="bottom"/>
    </xf>
    <xf borderId="24" fillId="3" fontId="6" numFmtId="0" xfId="0" applyAlignment="1" applyBorder="1" applyFont="1">
      <alignment vertical="bottom"/>
    </xf>
    <xf borderId="29" fillId="3" fontId="6" numFmtId="0" xfId="0" applyAlignment="1" applyBorder="1" applyFont="1">
      <alignment vertical="bottom"/>
    </xf>
    <xf borderId="30" fillId="0" fontId="6" numFmtId="0" xfId="0" applyAlignment="1" applyBorder="1" applyFont="1">
      <alignment horizontal="right" vertical="bottom"/>
    </xf>
    <xf borderId="31" fillId="0" fontId="6" numFmtId="0" xfId="0" applyAlignment="1" applyBorder="1" applyFont="1">
      <alignment horizontal="right" vertical="bottom"/>
    </xf>
    <xf borderId="23" fillId="3" fontId="6" numFmtId="0" xfId="0" applyBorder="1" applyFont="1"/>
    <xf borderId="0" fillId="3" fontId="12" numFmtId="0" xfId="0" applyAlignment="1" applyFont="1">
      <alignment horizontal="left"/>
    </xf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4" numFmtId="167" xfId="0" applyAlignment="1" applyFont="1" applyNumberFormat="1">
      <alignment horizontal="center"/>
    </xf>
    <xf borderId="0" fillId="0" fontId="15" numFmtId="167" xfId="0" applyAlignment="1" applyFont="1" applyNumberFormat="1">
      <alignment horizontal="center"/>
    </xf>
    <xf borderId="0" fillId="0" fontId="15" numFmtId="167" xfId="0" applyFont="1" applyNumberFormat="1"/>
    <xf borderId="0" fillId="0" fontId="14" numFmtId="0" xfId="0" applyFont="1"/>
    <xf borderId="0" fillId="0" fontId="16" numFmtId="0" xfId="0" applyAlignment="1" applyFont="1">
      <alignment vertical="top"/>
    </xf>
    <xf borderId="0" fillId="0" fontId="16" numFmtId="168" xfId="0" applyAlignment="1" applyFont="1" applyNumberFormat="1">
      <alignment vertical="top"/>
    </xf>
    <xf borderId="0" fillId="0" fontId="16" numFmtId="4" xfId="0" applyAlignment="1" applyFont="1" applyNumberFormat="1">
      <alignment vertical="top"/>
    </xf>
    <xf borderId="0" fillId="0" fontId="15" numFmtId="0" xfId="0" applyFont="1"/>
    <xf borderId="0" fillId="0" fontId="6" numFmtId="0" xfId="0" applyFont="1"/>
    <xf borderId="0" fillId="3" fontId="6" numFmtId="0" xfId="0" applyFont="1"/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 shrinkToFit="0" wrapText="1"/>
    </xf>
    <xf borderId="0" fillId="0" fontId="15" numFmtId="168" xfId="0" applyAlignment="1" applyFont="1" applyNumberFormat="1">
      <alignment horizontal="right" shrinkToFit="0" wrapText="1"/>
    </xf>
    <xf borderId="0" fillId="0" fontId="14" numFmtId="0" xfId="0" applyAlignment="1" applyFont="1">
      <alignment shrinkToFit="0" wrapText="1"/>
    </xf>
    <xf borderId="0" fillId="0" fontId="14" numFmtId="2" xfId="0" applyAlignment="1" applyFont="1" applyNumberFormat="1">
      <alignment horizontal="right" shrinkToFit="0" wrapText="1"/>
    </xf>
    <xf borderId="0" fillId="0" fontId="14" numFmtId="168" xfId="0" applyAlignment="1" applyFont="1" applyNumberFormat="1">
      <alignment horizontal="right" shrinkToFit="0" wrapText="1"/>
    </xf>
    <xf borderId="0" fillId="0" fontId="14" numFmtId="4" xfId="0" applyAlignment="1" applyFont="1" applyNumberFormat="1">
      <alignment horizontal="right" shrinkToFit="0" wrapText="1"/>
    </xf>
    <xf borderId="0" fillId="0" fontId="15" numFmtId="4" xfId="0" applyAlignment="1" applyFont="1" applyNumberFormat="1">
      <alignment horizontal="right" shrinkToFit="0" wrapText="1"/>
    </xf>
    <xf borderId="0" fillId="0" fontId="16" numFmtId="0" xfId="0" applyFont="1"/>
    <xf borderId="0" fillId="0" fontId="16" numFmtId="168" xfId="0" applyFont="1" applyNumberFormat="1"/>
    <xf borderId="0" fillId="0" fontId="16" numFmtId="4" xfId="0" applyFont="1" applyNumberFormat="1"/>
    <xf borderId="0" fillId="0" fontId="15" numFmtId="4" xfId="0" applyAlignment="1" applyFont="1" applyNumberFormat="1">
      <alignment horizontal="center" shrinkToFit="0" wrapText="1"/>
    </xf>
    <xf borderId="0" fillId="0" fontId="14" numFmtId="4" xfId="0" applyAlignment="1" applyFont="1" applyNumberFormat="1">
      <alignment shrinkToFit="0" wrapText="1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horizontal="center" shrinkToFit="0" vertical="bottom" wrapText="1"/>
    </xf>
    <xf borderId="0" fillId="0" fontId="14" numFmtId="2" xfId="0" applyAlignment="1" applyFont="1" applyNumberFormat="1">
      <alignment horizontal="right" shrinkToFit="0" vertical="bottom" wrapText="1"/>
    </xf>
    <xf borderId="0" fillId="0" fontId="14" numFmtId="168" xfId="0" applyAlignment="1" applyFont="1" applyNumberFormat="1">
      <alignment horizontal="right" shrinkToFit="0" vertical="bottom" wrapText="1"/>
    </xf>
    <xf borderId="0" fillId="0" fontId="6" numFmtId="0" xfId="0" applyAlignment="1" applyFont="1">
      <alignment vertical="bottom"/>
    </xf>
    <xf borderId="0" fillId="0" fontId="14" numFmtId="167" xfId="0" applyAlignment="1" applyFont="1" applyNumberFormat="1">
      <alignment shrinkToFit="0" wrapText="1"/>
    </xf>
    <xf borderId="0" fillId="0" fontId="14" numFmtId="167" xfId="0" applyAlignment="1" applyFont="1" applyNumberFormat="1">
      <alignment horizontal="center" shrinkToFit="0" wrapText="1"/>
    </xf>
    <xf borderId="0" fillId="0" fontId="16" numFmtId="167" xfId="0" applyFont="1" applyNumberFormat="1"/>
    <xf borderId="0" fillId="0" fontId="15" numFmtId="167" xfId="0" applyAlignment="1" applyFont="1" applyNumberFormat="1">
      <alignment shrinkToFit="0" wrapText="1"/>
    </xf>
    <xf borderId="0" fillId="0" fontId="15" numFmtId="167" xfId="0" applyAlignment="1" applyFont="1" applyNumberFormat="1">
      <alignment horizontal="center" shrinkToFit="0" wrapText="1"/>
    </xf>
    <xf borderId="1" fillId="2" fontId="2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/>
    </xf>
    <xf borderId="0" fillId="3" fontId="12" numFmtId="0" xfId="0" applyAlignment="1" applyFont="1">
      <alignment horizontal="left" readingOrder="0"/>
    </xf>
    <xf borderId="0" fillId="0" fontId="15" numFmtId="168" xfId="0" applyAlignment="1" applyFont="1" applyNumberFormat="1">
      <alignment shrinkToFit="0" wrapText="1"/>
    </xf>
    <xf borderId="0" fillId="0" fontId="15" numFmtId="4" xfId="0" applyFont="1" applyNumberFormat="1"/>
    <xf borderId="0" fillId="0" fontId="17" numFmtId="4" xfId="0" applyAlignment="1" applyFont="1" applyNumberFormat="1">
      <alignment horizontal="center"/>
    </xf>
    <xf borderId="0" fillId="0" fontId="6" numFmtId="168" xfId="0" applyFont="1" applyNumberFormat="1"/>
    <xf borderId="1" fillId="2" fontId="2" numFmtId="0" xfId="0" applyAlignment="1" applyBorder="1" applyFont="1">
      <alignment horizontal="center"/>
    </xf>
    <xf borderId="4" fillId="7" fontId="15" numFmtId="167" xfId="0" applyAlignment="1" applyBorder="1" applyFill="1" applyFont="1" applyNumberFormat="1">
      <alignment horizontal="center" vertical="bottom"/>
    </xf>
    <xf borderId="4" fillId="8" fontId="15" numFmtId="167" xfId="0" applyAlignment="1" applyBorder="1" applyFill="1" applyFont="1" applyNumberFormat="1">
      <alignment vertical="bottom"/>
    </xf>
    <xf borderId="4" fillId="0" fontId="14" numFmtId="167" xfId="0" applyAlignment="1" applyBorder="1" applyFont="1" applyNumberFormat="1">
      <alignment vertical="bottom"/>
    </xf>
    <xf borderId="4" fillId="9" fontId="15" numFmtId="167" xfId="0" applyAlignment="1" applyBorder="1" applyFill="1" applyFont="1" applyNumberFormat="1">
      <alignment vertical="bottom"/>
    </xf>
    <xf borderId="32" fillId="10" fontId="15" numFmtId="0" xfId="0" applyAlignment="1" applyBorder="1" applyFill="1" applyFont="1">
      <alignment shrinkToFit="0" vertical="bottom" wrapText="1"/>
    </xf>
    <xf borderId="6" fillId="10" fontId="15" numFmtId="0" xfId="0" applyAlignment="1" applyBorder="1" applyFont="1">
      <alignment shrinkToFit="0" vertical="bottom" wrapText="1"/>
    </xf>
    <xf borderId="6" fillId="10" fontId="15" numFmtId="0" xfId="0" applyAlignment="1" applyBorder="1" applyFont="1">
      <alignment horizontal="center" shrinkToFit="0" vertical="bottom" wrapText="1"/>
    </xf>
    <xf borderId="6" fillId="10" fontId="15" numFmtId="168" xfId="0" applyAlignment="1" applyBorder="1" applyFont="1" applyNumberFormat="1">
      <alignment horizontal="right" shrinkToFit="0" vertical="bottom" wrapText="1"/>
    </xf>
    <xf borderId="6" fillId="10" fontId="15" numFmtId="168" xfId="0" applyAlignment="1" applyBorder="1" applyFont="1" applyNumberFormat="1">
      <alignment horizontal="right" shrinkToFit="0" vertical="bottom" wrapText="1"/>
    </xf>
    <xf borderId="6" fillId="10" fontId="15" numFmtId="4" xfId="0" applyAlignment="1" applyBorder="1" applyFont="1" applyNumberFormat="1">
      <alignment horizontal="center" shrinkToFit="0" vertical="bottom" wrapText="1"/>
    </xf>
    <xf borderId="32" fillId="0" fontId="14" numFmtId="0" xfId="0" applyAlignment="1" applyBorder="1" applyFont="1">
      <alignment shrinkToFit="0" vertical="bottom" wrapText="1"/>
    </xf>
    <xf borderId="6" fillId="0" fontId="14" numFmtId="0" xfId="0" applyAlignment="1" applyBorder="1" applyFont="1">
      <alignment horizontal="center" shrinkToFit="0" vertical="bottom" wrapText="1"/>
    </xf>
    <xf borderId="6" fillId="0" fontId="14" numFmtId="168" xfId="0" applyAlignment="1" applyBorder="1" applyFont="1" applyNumberFormat="1">
      <alignment horizontal="right" shrinkToFit="0" vertical="bottom" wrapText="1"/>
    </xf>
    <xf borderId="6" fillId="0" fontId="14" numFmtId="168" xfId="0" applyAlignment="1" applyBorder="1" applyFont="1" applyNumberFormat="1">
      <alignment horizontal="right" shrinkToFit="0" vertical="bottom" wrapText="1"/>
    </xf>
    <xf borderId="6" fillId="0" fontId="14" numFmtId="4" xfId="0" applyAlignment="1" applyBorder="1" applyFont="1" applyNumberFormat="1">
      <alignment shrinkToFit="0" vertical="bottom" wrapText="1"/>
    </xf>
    <xf borderId="6" fillId="0" fontId="14" numFmtId="0" xfId="0" applyAlignment="1" applyBorder="1" applyFont="1">
      <alignment shrinkToFit="0" vertical="bottom" wrapText="1"/>
    </xf>
    <xf borderId="4" fillId="0" fontId="15" numFmtId="0" xfId="0" applyAlignment="1" applyBorder="1" applyFont="1">
      <alignment shrinkToFit="0" vertical="bottom" wrapText="1"/>
    </xf>
    <xf borderId="6" fillId="0" fontId="15" numFmtId="4" xfId="0" applyAlignment="1" applyBorder="1" applyFont="1" applyNumberFormat="1">
      <alignment horizontal="right" shrinkToFit="0" vertical="bottom" wrapText="1"/>
    </xf>
    <xf borderId="4" fillId="0" fontId="6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32" fillId="0" fontId="6" numFmtId="0" xfId="0" applyAlignment="1" applyBorder="1" applyFont="1">
      <alignment vertical="bottom"/>
    </xf>
    <xf borderId="6" fillId="0" fontId="6" numFmtId="168" xfId="0" applyAlignment="1" applyBorder="1" applyFont="1" applyNumberFormat="1">
      <alignment vertical="bottom"/>
    </xf>
    <xf borderId="6" fillId="0" fontId="6" numFmtId="168" xfId="0" applyAlignment="1" applyBorder="1" applyFont="1" applyNumberFormat="1">
      <alignment vertical="bottom"/>
    </xf>
    <xf borderId="6" fillId="0" fontId="6" numFmtId="4" xfId="0" applyAlignment="1" applyBorder="1" applyFont="1" applyNumberFormat="1">
      <alignment vertical="bottom"/>
    </xf>
    <xf borderId="4" fillId="9" fontId="15" numFmtId="0" xfId="0" applyAlignment="1" applyBorder="1" applyFont="1">
      <alignment vertical="bottom"/>
    </xf>
    <xf borderId="18" fillId="0" fontId="14" numFmtId="0" xfId="0" applyAlignment="1" applyBorder="1" applyFont="1">
      <alignment shrinkToFit="0" vertical="bottom" wrapText="1"/>
    </xf>
    <xf borderId="18" fillId="0" fontId="14" numFmtId="0" xfId="0" applyAlignment="1" applyBorder="1" applyFont="1">
      <alignment horizontal="center" shrinkToFit="0" vertical="bottom" wrapText="1"/>
    </xf>
    <xf borderId="13" fillId="10" fontId="15" numFmtId="4" xfId="0" applyAlignment="1" applyBorder="1" applyFont="1" applyNumberFormat="1">
      <alignment horizontal="center" shrinkToFit="0" vertical="bottom" wrapText="1"/>
    </xf>
    <xf borderId="18" fillId="0" fontId="14" numFmtId="167" xfId="0" applyAlignment="1" applyBorder="1" applyFont="1" applyNumberFormat="1">
      <alignment shrinkToFit="0" vertical="bottom" wrapText="1"/>
    </xf>
    <xf borderId="18" fillId="0" fontId="14" numFmtId="167" xfId="0" applyAlignment="1" applyBorder="1" applyFont="1" applyNumberFormat="1">
      <alignment horizontal="center" shrinkToFit="0" vertical="bottom" wrapText="1"/>
    </xf>
    <xf borderId="18" fillId="0" fontId="14" numFmtId="168" xfId="0" applyAlignment="1" applyBorder="1" applyFont="1" applyNumberFormat="1">
      <alignment horizontal="center" shrinkToFit="0" vertical="bottom" wrapText="1"/>
    </xf>
    <xf borderId="18" fillId="0" fontId="14" numFmtId="4" xfId="0" applyAlignment="1" applyBorder="1" applyFont="1" applyNumberFormat="1">
      <alignment shrinkToFit="0" vertical="bottom" wrapText="1"/>
    </xf>
    <xf borderId="18" fillId="0" fontId="14" numFmtId="4" xfId="0" applyAlignment="1" applyBorder="1" applyFont="1" applyNumberFormat="1">
      <alignment shrinkToFit="0" vertical="top" wrapText="1"/>
    </xf>
    <xf borderId="6" fillId="0" fontId="14" numFmtId="168" xfId="0" applyAlignment="1" applyBorder="1" applyFont="1" applyNumberFormat="1">
      <alignment horizontal="center" shrinkToFit="0" vertical="bottom" wrapText="1"/>
    </xf>
    <xf borderId="18" fillId="0" fontId="14" numFmtId="0" xfId="0" applyAlignment="1" applyBorder="1" applyFont="1">
      <alignment shrinkToFit="0" vertical="top" wrapText="1"/>
    </xf>
    <xf borderId="32" fillId="0" fontId="14" numFmtId="167" xfId="0" applyAlignment="1" applyBorder="1" applyFont="1" applyNumberFormat="1">
      <alignment shrinkToFit="0" vertical="bottom" wrapText="1"/>
    </xf>
    <xf borderId="6" fillId="0" fontId="14" numFmtId="167" xfId="0" applyAlignment="1" applyBorder="1" applyFont="1" applyNumberFormat="1">
      <alignment horizontal="center" shrinkToFit="0" vertical="bottom" wrapText="1"/>
    </xf>
    <xf borderId="6" fillId="0" fontId="14" numFmtId="167" xfId="0" applyAlignment="1" applyBorder="1" applyFont="1" applyNumberFormat="1">
      <alignment shrinkToFit="0" vertical="bottom" wrapText="1"/>
    </xf>
    <xf borderId="5" fillId="0" fontId="6" numFmtId="0" xfId="0" applyAlignment="1" applyBorder="1" applyFont="1">
      <alignment vertical="bottom"/>
    </xf>
    <xf borderId="5" fillId="0" fontId="6" numFmtId="168" xfId="0" applyAlignment="1" applyBorder="1" applyFont="1" applyNumberFormat="1">
      <alignment vertical="bottom"/>
    </xf>
    <xf borderId="5" fillId="0" fontId="6" numFmtId="168" xfId="0" applyAlignment="1" applyBorder="1" applyFont="1" applyNumberFormat="1">
      <alignment vertical="bottom"/>
    </xf>
    <xf borderId="5" fillId="0" fontId="6" numFmtId="4" xfId="0" applyAlignment="1" applyBorder="1" applyFont="1" applyNumberFormat="1">
      <alignment vertical="bottom"/>
    </xf>
    <xf borderId="32" fillId="10" fontId="15" numFmtId="167" xfId="0" applyAlignment="1" applyBorder="1" applyFont="1" applyNumberFormat="1">
      <alignment shrinkToFit="0" vertical="bottom" wrapText="1"/>
    </xf>
    <xf borderId="6" fillId="10" fontId="15" numFmtId="167" xfId="0" applyAlignment="1" applyBorder="1" applyFont="1" applyNumberFormat="1">
      <alignment shrinkToFit="0" vertical="bottom" wrapText="1"/>
    </xf>
    <xf borderId="6" fillId="10" fontId="15" numFmtId="167" xfId="0" applyAlignment="1" applyBorder="1" applyFont="1" applyNumberFormat="1">
      <alignment horizontal="center" shrinkToFit="0" vertical="bottom" wrapText="1"/>
    </xf>
    <xf borderId="5" fillId="0" fontId="15" numFmtId="167" xfId="0" applyAlignment="1" applyBorder="1" applyFont="1" applyNumberFormat="1">
      <alignment horizontal="right" shrinkToFit="0" vertical="bottom" wrapText="1"/>
    </xf>
    <xf borderId="5" fillId="0" fontId="15" numFmtId="4" xfId="0" applyAlignment="1" applyBorder="1" applyFont="1" applyNumberFormat="1">
      <alignment horizontal="right" shrinkToFit="0" vertical="bottom" wrapText="1"/>
    </xf>
    <xf borderId="4" fillId="0" fontId="6" numFmtId="167" xfId="0" applyAlignment="1" applyBorder="1" applyFont="1" applyNumberFormat="1">
      <alignment vertical="bottom"/>
    </xf>
    <xf borderId="4" fillId="11" fontId="15" numFmtId="167" xfId="0" applyAlignment="1" applyBorder="1" applyFill="1" applyFont="1" applyNumberFormat="1">
      <alignment horizontal="center" shrinkToFit="0" vertical="bottom" wrapText="1"/>
    </xf>
    <xf borderId="7" fillId="11" fontId="17" numFmtId="4" xfId="0" applyAlignment="1" applyBorder="1" applyFont="1" applyNumberFormat="1">
      <alignment horizontal="center" vertical="bottom"/>
    </xf>
    <xf borderId="0" fillId="0" fontId="6" numFmtId="168" xfId="0" applyAlignment="1" applyFont="1" applyNumberFormat="1">
      <alignment vertical="bottom"/>
    </xf>
    <xf borderId="0" fillId="0" fontId="6" numFmtId="168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32" fillId="10" fontId="15" numFmtId="0" xfId="0" applyAlignment="1" applyBorder="1" applyFont="1">
      <alignment shrinkToFit="0" wrapText="1"/>
    </xf>
    <xf borderId="6" fillId="10" fontId="15" numFmtId="0" xfId="0" applyAlignment="1" applyBorder="1" applyFont="1">
      <alignment shrinkToFit="0" wrapText="1"/>
    </xf>
    <xf borderId="6" fillId="10" fontId="15" numFmtId="0" xfId="0" applyAlignment="1" applyBorder="1" applyFont="1">
      <alignment horizontal="center" shrinkToFit="0" wrapText="1"/>
    </xf>
    <xf borderId="6" fillId="10" fontId="15" numFmtId="168" xfId="0" applyAlignment="1" applyBorder="1" applyFont="1" applyNumberFormat="1">
      <alignment horizontal="right" shrinkToFit="0" wrapText="1"/>
    </xf>
    <xf borderId="6" fillId="10" fontId="15" numFmtId="4" xfId="0" applyAlignment="1" applyBorder="1" applyFont="1" applyNumberFormat="1">
      <alignment horizontal="center" shrinkToFit="0" wrapText="1"/>
    </xf>
    <xf borderId="32" fillId="0" fontId="14" numFmtId="0" xfId="0" applyAlignment="1" applyBorder="1" applyFont="1">
      <alignment shrinkToFit="0" wrapText="1"/>
    </xf>
    <xf borderId="6" fillId="0" fontId="14" numFmtId="0" xfId="0" applyAlignment="1" applyBorder="1" applyFont="1">
      <alignment horizontal="center" shrinkToFit="0" wrapText="1"/>
    </xf>
    <xf borderId="6" fillId="0" fontId="14" numFmtId="2" xfId="0" applyAlignment="1" applyBorder="1" applyFont="1" applyNumberFormat="1">
      <alignment horizontal="right" shrinkToFit="0" wrapText="1"/>
    </xf>
    <xf borderId="6" fillId="0" fontId="14" numFmtId="168" xfId="0" applyAlignment="1" applyBorder="1" applyFont="1" applyNumberFormat="1">
      <alignment horizontal="right" shrinkToFit="0" wrapText="1"/>
    </xf>
    <xf borderId="6" fillId="0" fontId="14" numFmtId="4" xfId="0" applyAlignment="1" applyBorder="1" applyFont="1" applyNumberFormat="1">
      <alignment shrinkToFit="0" wrapText="1"/>
    </xf>
    <xf borderId="6" fillId="0" fontId="14" numFmtId="0" xfId="0" applyAlignment="1" applyBorder="1" applyFont="1">
      <alignment shrinkToFit="0" wrapText="1"/>
    </xf>
    <xf borderId="32" fillId="0" fontId="14" numFmtId="167" xfId="0" applyAlignment="1" applyBorder="1" applyFont="1" applyNumberFormat="1">
      <alignment shrinkToFit="0" wrapText="1"/>
    </xf>
    <xf borderId="6" fillId="0" fontId="14" numFmtId="167" xfId="0" applyAlignment="1" applyBorder="1" applyFont="1" applyNumberFormat="1">
      <alignment horizontal="center" shrinkToFit="0" wrapText="1"/>
    </xf>
    <xf borderId="6" fillId="0" fontId="14" numFmtId="167" xfId="0" applyAlignment="1" applyBorder="1" applyFont="1" applyNumberFormat="1">
      <alignment shrinkToFit="0" wrapText="1"/>
    </xf>
    <xf borderId="4" fillId="0" fontId="15" numFmtId="0" xfId="0" applyAlignment="1" applyBorder="1" applyFont="1">
      <alignment shrinkToFit="0" wrapText="1"/>
    </xf>
    <xf borderId="6" fillId="0" fontId="15" numFmtId="4" xfId="0" applyAlignment="1" applyBorder="1" applyFont="1" applyNumberFormat="1">
      <alignment horizontal="right" shrinkToFit="0" wrapText="1"/>
    </xf>
    <xf borderId="32" fillId="0" fontId="16" numFmtId="0" xfId="0" applyBorder="1" applyFont="1"/>
    <xf borderId="6" fillId="0" fontId="16" numFmtId="0" xfId="0" applyBorder="1" applyFont="1"/>
    <xf borderId="6" fillId="0" fontId="16" numFmtId="168" xfId="0" applyBorder="1" applyFont="1" applyNumberFormat="1"/>
    <xf borderId="6" fillId="0" fontId="16" numFmtId="4" xfId="0" applyBorder="1" applyFont="1" applyNumberFormat="1"/>
    <xf borderId="32" fillId="0" fontId="14" numFmtId="0" xfId="0" applyBorder="1" applyFont="1"/>
    <xf borderId="6" fillId="0" fontId="16" numFmtId="0" xfId="0" applyAlignment="1" applyBorder="1" applyFont="1">
      <alignment vertical="top"/>
    </xf>
    <xf borderId="6" fillId="0" fontId="16" numFmtId="168" xfId="0" applyAlignment="1" applyBorder="1" applyFont="1" applyNumberFormat="1">
      <alignment vertical="top"/>
    </xf>
    <xf borderId="6" fillId="0" fontId="16" numFmtId="4" xfId="0" applyAlignment="1" applyBorder="1" applyFont="1" applyNumberFormat="1">
      <alignment vertical="top"/>
    </xf>
    <xf borderId="32" fillId="9" fontId="15" numFmtId="0" xfId="0" applyBorder="1" applyFont="1"/>
    <xf borderId="6" fillId="9" fontId="16" numFmtId="0" xfId="0" applyAlignment="1" applyBorder="1" applyFont="1">
      <alignment vertical="top"/>
    </xf>
    <xf borderId="6" fillId="9" fontId="16" numFmtId="168" xfId="0" applyAlignment="1" applyBorder="1" applyFont="1" applyNumberFormat="1">
      <alignment vertical="top"/>
    </xf>
    <xf borderId="6" fillId="0" fontId="14" numFmtId="4" xfId="0" applyAlignment="1" applyBorder="1" applyFont="1" applyNumberFormat="1">
      <alignment horizontal="right" shrinkToFit="0" wrapText="1"/>
    </xf>
    <xf borderId="4" fillId="0" fontId="16" numFmtId="167" xfId="0" applyBorder="1" applyFont="1" applyNumberFormat="1"/>
    <xf borderId="5" fillId="0" fontId="16" numFmtId="167" xfId="0" applyBorder="1" applyFont="1" applyNumberFormat="1"/>
    <xf borderId="5" fillId="0" fontId="16" numFmtId="0" xfId="0" applyBorder="1" applyFont="1"/>
    <xf borderId="5" fillId="0" fontId="16" numFmtId="168" xfId="0" applyBorder="1" applyFont="1" applyNumberFormat="1"/>
    <xf borderId="5" fillId="0" fontId="16" numFmtId="4" xfId="0" applyBorder="1" applyFont="1" applyNumberFormat="1"/>
    <xf borderId="4" fillId="0" fontId="16" numFmtId="0" xfId="0" applyBorder="1" applyFont="1"/>
    <xf borderId="4" fillId="8" fontId="15" numFmtId="167" xfId="0" applyBorder="1" applyFont="1" applyNumberFormat="1"/>
    <xf borderId="32" fillId="10" fontId="15" numFmtId="167" xfId="0" applyAlignment="1" applyBorder="1" applyFont="1" applyNumberFormat="1">
      <alignment shrinkToFit="0" wrapText="1"/>
    </xf>
    <xf borderId="6" fillId="10" fontId="15" numFmtId="167" xfId="0" applyAlignment="1" applyBorder="1" applyFont="1" applyNumberFormat="1">
      <alignment shrinkToFit="0" wrapText="1"/>
    </xf>
    <xf borderId="6" fillId="10" fontId="15" numFmtId="167" xfId="0" applyAlignment="1" applyBorder="1" applyFont="1" applyNumberFormat="1">
      <alignment horizontal="center" shrinkToFit="0" wrapText="1"/>
    </xf>
    <xf borderId="4" fillId="0" fontId="15" numFmtId="167" xfId="0" applyAlignment="1" applyBorder="1" applyFont="1" applyNumberFormat="1">
      <alignment shrinkToFit="0" wrapText="1"/>
    </xf>
    <xf borderId="18" fillId="0" fontId="14" numFmtId="0" xfId="0" applyAlignment="1" applyBorder="1" applyFont="1">
      <alignment shrinkToFit="0" wrapText="1"/>
    </xf>
    <xf borderId="17" fillId="0" fontId="14" numFmtId="0" xfId="0" applyAlignment="1" applyBorder="1" applyFont="1">
      <alignment horizontal="center" shrinkToFit="0" wrapText="1"/>
    </xf>
    <xf borderId="17" fillId="0" fontId="14" numFmtId="168" xfId="0" applyAlignment="1" applyBorder="1" applyFont="1" applyNumberFormat="1">
      <alignment horizontal="right" shrinkToFit="0" wrapText="1"/>
    </xf>
    <xf borderId="17" fillId="0" fontId="14" numFmtId="0" xfId="0" applyAlignment="1" applyBorder="1" applyFont="1">
      <alignment shrinkToFit="0" wrapText="1"/>
    </xf>
    <xf borderId="32" fillId="0" fontId="15" numFmtId="0" xfId="0" applyAlignment="1" applyBorder="1" applyFont="1">
      <alignment shrinkToFit="0" wrapText="1"/>
    </xf>
    <xf borderId="6" fillId="0" fontId="15" numFmtId="0" xfId="0" applyAlignment="1" applyBorder="1" applyFont="1">
      <alignment shrinkToFit="0" wrapText="1"/>
    </xf>
    <xf borderId="6" fillId="0" fontId="15" numFmtId="168" xfId="0" applyAlignment="1" applyBorder="1" applyFont="1" applyNumberFormat="1">
      <alignment shrinkToFit="0" wrapText="1"/>
    </xf>
    <xf borderId="32" fillId="0" fontId="16" numFmtId="167" xfId="0" applyBorder="1" applyFont="1" applyNumberFormat="1"/>
    <xf borderId="6" fillId="0" fontId="16" numFmtId="167" xfId="0" applyBorder="1" applyFont="1" applyNumberFormat="1"/>
    <xf borderId="5" fillId="0" fontId="15" numFmtId="167" xfId="0" applyAlignment="1" applyBorder="1" applyFont="1" applyNumberFormat="1">
      <alignment horizontal="center" shrinkToFit="0" wrapText="1"/>
    </xf>
    <xf borderId="32" fillId="11" fontId="15" numFmtId="0" xfId="0" applyBorder="1" applyFont="1"/>
    <xf borderId="6" fillId="11" fontId="16" numFmtId="0" xfId="0" applyAlignment="1" applyBorder="1" applyFont="1">
      <alignment vertical="top"/>
    </xf>
    <xf borderId="6" fillId="11" fontId="16" numFmtId="168" xfId="0" applyAlignment="1" applyBorder="1" applyFont="1" applyNumberFormat="1">
      <alignment vertical="top"/>
    </xf>
    <xf borderId="6" fillId="9" fontId="16" numFmtId="4" xfId="0" applyAlignment="1" applyBorder="1" applyFont="1" applyNumberFormat="1">
      <alignment vertical="top"/>
    </xf>
    <xf borderId="32" fillId="0" fontId="16" numFmtId="4" xfId="0" applyBorder="1" applyFont="1" applyNumberFormat="1"/>
    <xf borderId="5" fillId="0" fontId="15" numFmtId="4" xfId="0" applyAlignment="1" applyBorder="1" applyFont="1" applyNumberFormat="1">
      <alignment horizontal="center" shrinkToFit="0" wrapText="1"/>
    </xf>
    <xf borderId="32" fillId="9" fontId="15" numFmtId="4" xfId="0" applyBorder="1" applyFont="1" applyNumberFormat="1"/>
    <xf borderId="4" fillId="11" fontId="15" numFmtId="167" xfId="0" applyAlignment="1" applyBorder="1" applyFont="1" applyNumberFormat="1">
      <alignment horizontal="center" shrinkToFit="0" wrapText="1"/>
    </xf>
    <xf borderId="7" fillId="11" fontId="17" numFmtId="4" xfId="0" applyAlignment="1" applyBorder="1" applyFont="1" applyNumberFormat="1">
      <alignment horizontal="center"/>
    </xf>
    <xf borderId="1" fillId="12" fontId="2" numFmtId="0" xfId="0" applyAlignment="1" applyBorder="1" applyFill="1" applyFont="1">
      <alignment horizontal="center" vertical="center"/>
    </xf>
    <xf borderId="33" fillId="13" fontId="18" numFmtId="0" xfId="0" applyBorder="1" applyFill="1" applyFont="1"/>
    <xf borderId="33" fillId="14" fontId="12" numFmtId="0" xfId="0" applyBorder="1" applyFill="1" applyFont="1"/>
    <xf borderId="33" fillId="15" fontId="12" numFmtId="0" xfId="0" applyBorder="1" applyFill="1" applyFont="1"/>
    <xf borderId="33" fillId="16" fontId="12" numFmtId="0" xfId="0" applyBorder="1" applyFill="1" applyFont="1"/>
    <xf borderId="33" fillId="17" fontId="12" numFmtId="0" xfId="0" applyBorder="1" applyFill="1" applyFont="1"/>
    <xf borderId="33" fillId="18" fontId="12" numFmtId="0" xfId="0" applyAlignment="1" applyBorder="1" applyFill="1" applyFont="1">
      <alignment horizontal="right"/>
    </xf>
    <xf borderId="33" fillId="19" fontId="12" numFmtId="0" xfId="0" applyBorder="1" applyFill="1" applyFont="1"/>
    <xf borderId="33" fillId="20" fontId="12" numFmtId="0" xfId="0" applyBorder="1" applyFill="1" applyFont="1"/>
    <xf borderId="33" fillId="18" fontId="12" numFmtId="0" xfId="0" applyBorder="1" applyFont="1"/>
    <xf borderId="34" fillId="0" fontId="9" numFmtId="0" xfId="0" applyBorder="1" applyFont="1"/>
    <xf borderId="35" fillId="0" fontId="9" numFmtId="0" xfId="0" applyBorder="1" applyFont="1"/>
    <xf borderId="34" fillId="0" fontId="9" numFmtId="3" xfId="0" applyBorder="1" applyFont="1" applyNumberFormat="1"/>
    <xf borderId="35" fillId="0" fontId="9" numFmtId="10" xfId="0" applyBorder="1" applyFont="1" applyNumberFormat="1"/>
    <xf borderId="36" fillId="0" fontId="9" numFmtId="3" xfId="0" applyBorder="1" applyFont="1" applyNumberFormat="1"/>
    <xf borderId="37" fillId="0" fontId="9" numFmtId="10" xfId="0" applyBorder="1" applyFont="1" applyNumberFormat="1"/>
    <xf borderId="38" fillId="0" fontId="9" numFmtId="3" xfId="0" applyBorder="1" applyFont="1" applyNumberFormat="1"/>
    <xf borderId="39" fillId="0" fontId="9" numFmtId="10" xfId="0" applyBorder="1" applyFont="1" applyNumberFormat="1"/>
    <xf borderId="40" fillId="0" fontId="9" numFmtId="0" xfId="0" applyBorder="1" applyFont="1"/>
    <xf borderId="0" fillId="0" fontId="12" numFmtId="0" xfId="0" applyFont="1"/>
    <xf borderId="38" fillId="0" fontId="9" numFmtId="0" xfId="0" applyBorder="1" applyFont="1"/>
    <xf borderId="41" fillId="0" fontId="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Mailing do projet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32" displayName="Table_1" name="Table_1" id="1">
  <tableColumns count="7">
    <tableColumn name="Cidade" id="1"/>
    <tableColumn name="Nome" id="2"/>
    <tableColumn name="Instituição/Local" id="3"/>
    <tableColumn name="Função" id="4"/>
    <tableColumn name="Telefone" id="5"/>
    <tableColumn name="E-mail" id="6"/>
    <tableColumn name="Projeto anterior de referência (se tiver)" id="7"/>
  </tableColumns>
  <tableStyleInfo name="Mailing do proje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88"/>
    <col customWidth="1" min="3" max="3" width="9.0"/>
    <col customWidth="1" min="12" max="12" width="27.88"/>
  </cols>
  <sheetData>
    <row r="1" ht="15.75" customHeight="1">
      <c r="A1" s="1" t="s">
        <v>0</v>
      </c>
      <c r="D1" s="2"/>
      <c r="E1" s="3"/>
      <c r="F1" s="3"/>
      <c r="G1" s="3"/>
      <c r="H1" s="4"/>
      <c r="I1" s="4"/>
      <c r="J1" s="4"/>
      <c r="K1" s="4"/>
      <c r="L1" s="4"/>
    </row>
    <row r="2" ht="15.75" customHeight="1">
      <c r="A2" s="5" t="s">
        <v>1</v>
      </c>
      <c r="E2" s="6"/>
      <c r="G2" s="7"/>
      <c r="H2" s="7"/>
      <c r="I2" s="7"/>
      <c r="J2" s="7"/>
      <c r="K2" s="7"/>
      <c r="L2" s="7"/>
    </row>
    <row r="3" ht="15.75" customHeight="1">
      <c r="A3" s="5" t="s">
        <v>2</v>
      </c>
      <c r="E3" s="6"/>
      <c r="G3" s="7"/>
      <c r="H3" s="7"/>
      <c r="I3" s="7"/>
      <c r="J3" s="7"/>
      <c r="K3" s="7"/>
      <c r="L3" s="7"/>
    </row>
    <row r="4" ht="15.75" customHeight="1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10"/>
    </row>
    <row r="5" ht="15.75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ht="15.75" customHeight="1">
      <c r="A6" s="14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ht="22.5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ht="15.75" customHeight="1">
      <c r="A8" s="5" t="s">
        <v>4</v>
      </c>
      <c r="C8" s="15"/>
      <c r="E8" s="15"/>
      <c r="G8" s="7"/>
      <c r="H8" s="7"/>
      <c r="I8" s="7"/>
      <c r="J8" s="7"/>
      <c r="K8" s="7"/>
      <c r="L8" s="7"/>
    </row>
    <row r="9" ht="15.75" customHeight="1">
      <c r="A9" s="5" t="s">
        <v>5</v>
      </c>
      <c r="D9" s="6" t="s">
        <v>6</v>
      </c>
      <c r="G9" s="6"/>
      <c r="H9" s="7"/>
      <c r="I9" s="7"/>
      <c r="J9" s="7"/>
      <c r="K9" s="7"/>
      <c r="L9" s="7"/>
    </row>
    <row r="10" ht="15.75" customHeight="1">
      <c r="A10" s="5" t="s">
        <v>7</v>
      </c>
      <c r="C10" s="16"/>
      <c r="E10" s="6"/>
      <c r="H10" s="7"/>
      <c r="I10" s="7"/>
      <c r="J10" s="7"/>
      <c r="K10" s="7"/>
      <c r="L10" s="7"/>
    </row>
    <row r="11" ht="15.75" customHeight="1">
      <c r="A11" s="5" t="s">
        <v>8</v>
      </c>
      <c r="C11" s="17"/>
      <c r="E11" s="6"/>
      <c r="H11" s="7"/>
      <c r="I11" s="7"/>
      <c r="J11" s="7"/>
      <c r="K11" s="7"/>
      <c r="L11" s="7"/>
    </row>
    <row r="12" ht="15.75" customHeight="1">
      <c r="A12" s="5" t="s">
        <v>9</v>
      </c>
      <c r="D12" s="18" t="s">
        <v>10</v>
      </c>
      <c r="E12" s="6"/>
      <c r="H12" s="7"/>
      <c r="I12" s="7"/>
      <c r="J12" s="7"/>
      <c r="K12" s="7"/>
      <c r="L12" s="7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0">
    <mergeCell ref="A1:C1"/>
    <mergeCell ref="A2:D2"/>
    <mergeCell ref="E2:F2"/>
    <mergeCell ref="A3:D3"/>
    <mergeCell ref="E3:F3"/>
    <mergeCell ref="A4:L5"/>
    <mergeCell ref="A6:L7"/>
    <mergeCell ref="A10:B10"/>
    <mergeCell ref="A11:B11"/>
    <mergeCell ref="C11:D11"/>
    <mergeCell ref="E11:G11"/>
    <mergeCell ref="A12:C12"/>
    <mergeCell ref="E12:G12"/>
    <mergeCell ref="A8:B8"/>
    <mergeCell ref="C8:D8"/>
    <mergeCell ref="E8:F8"/>
    <mergeCell ref="A9:C9"/>
    <mergeCell ref="D9:F9"/>
    <mergeCell ref="C10:D10"/>
    <mergeCell ref="E10:G10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3" max="3" width="23.88"/>
    <col customWidth="1" min="4" max="4" width="43.63"/>
  </cols>
  <sheetData>
    <row r="1" ht="15.75" customHeight="1">
      <c r="A1" s="8" t="s">
        <v>11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22"/>
      <c r="D25" s="21"/>
    </row>
    <row r="26" ht="15.75" customHeight="1">
      <c r="A26" s="22"/>
      <c r="D26" s="21"/>
    </row>
    <row r="27" ht="15.75" customHeight="1">
      <c r="A27" s="22"/>
      <c r="D27" s="21"/>
    </row>
    <row r="28" ht="15.75" customHeight="1">
      <c r="A28" s="22"/>
      <c r="D28" s="21"/>
    </row>
    <row r="29" ht="15.75" customHeight="1">
      <c r="A29" s="22"/>
      <c r="D29" s="21"/>
    </row>
    <row r="30" ht="15.75" customHeight="1">
      <c r="A30" s="22"/>
      <c r="D30" s="21"/>
    </row>
    <row r="31" ht="15.75" customHeight="1">
      <c r="A31" s="22"/>
      <c r="D31" s="21"/>
    </row>
    <row r="32" ht="15.75" customHeight="1">
      <c r="A32" s="22"/>
      <c r="D32" s="21"/>
    </row>
    <row r="33" ht="15.75" customHeight="1">
      <c r="A33" s="22"/>
      <c r="D33" s="21"/>
    </row>
    <row r="34" ht="15.75" customHeight="1">
      <c r="A34" s="22"/>
      <c r="D34" s="21"/>
    </row>
    <row r="35" ht="15.75" customHeight="1">
      <c r="A35" s="22"/>
      <c r="D35" s="21"/>
    </row>
    <row r="36" ht="15.75" customHeight="1">
      <c r="A36" s="22"/>
      <c r="D36" s="21"/>
    </row>
    <row r="37" ht="15.75" customHeight="1">
      <c r="A37" s="22"/>
      <c r="D37" s="21"/>
    </row>
    <row r="38" ht="15.75" customHeight="1">
      <c r="A38" s="22"/>
      <c r="D38" s="21"/>
    </row>
    <row r="39" ht="15.75" customHeight="1">
      <c r="A39" s="22"/>
      <c r="D39" s="21"/>
    </row>
    <row r="40" ht="15.75" customHeight="1">
      <c r="A40" s="22"/>
      <c r="D40" s="21"/>
    </row>
    <row r="41" ht="15.75" customHeight="1">
      <c r="A41" s="22"/>
      <c r="D41" s="21"/>
    </row>
    <row r="42" ht="15.75" customHeight="1">
      <c r="A42" s="22"/>
      <c r="D42" s="21"/>
    </row>
    <row r="43" ht="15.75" customHeight="1">
      <c r="A43" s="22"/>
      <c r="D43" s="21"/>
    </row>
    <row r="44" ht="15.75" customHeight="1">
      <c r="A44" s="22"/>
      <c r="D44" s="21"/>
    </row>
    <row r="45" ht="15.75" customHeight="1">
      <c r="A45" s="22"/>
      <c r="D45" s="21"/>
    </row>
    <row r="46" ht="15.75" customHeight="1">
      <c r="A46" s="22"/>
      <c r="D46" s="21"/>
    </row>
    <row r="47" ht="15.75" customHeight="1">
      <c r="A47" s="22"/>
      <c r="D47" s="21"/>
    </row>
    <row r="48" ht="15.75" customHeight="1">
      <c r="A48" s="22"/>
      <c r="D48" s="21"/>
    </row>
    <row r="49" ht="15.75" customHeight="1">
      <c r="A49" s="22"/>
      <c r="D49" s="21"/>
    </row>
    <row r="50" ht="15.75" customHeight="1">
      <c r="A50" s="22"/>
      <c r="D50" s="21"/>
    </row>
    <row r="51" ht="15.75" customHeight="1">
      <c r="A51" s="22"/>
      <c r="D51" s="21"/>
    </row>
    <row r="52" ht="15.75" customHeight="1">
      <c r="A52" s="22"/>
      <c r="D52" s="21"/>
    </row>
    <row r="53" ht="15.75" customHeight="1">
      <c r="A53" s="11"/>
      <c r="B53" s="12"/>
      <c r="C53" s="12"/>
      <c r="D53" s="2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2">
    <mergeCell ref="A1:D2"/>
    <mergeCell ref="A3:D53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12</v>
      </c>
      <c r="B1" s="9"/>
      <c r="C1" s="9"/>
      <c r="D1" s="24"/>
    </row>
    <row r="2" ht="15.75" customHeight="1">
      <c r="A2" s="11"/>
      <c r="B2" s="12"/>
      <c r="C2" s="12"/>
      <c r="D2" s="25"/>
    </row>
    <row r="3" ht="15.75" customHeight="1">
      <c r="A3" s="14"/>
      <c r="B3" s="9"/>
      <c r="C3" s="9"/>
      <c r="D3" s="24"/>
    </row>
    <row r="4" ht="15.75" customHeight="1">
      <c r="A4" s="22"/>
      <c r="D4" s="26"/>
    </row>
    <row r="5" ht="15.75" customHeight="1">
      <c r="A5" s="22"/>
      <c r="D5" s="26"/>
    </row>
    <row r="6" ht="15.75" customHeight="1">
      <c r="A6" s="22"/>
      <c r="D6" s="26"/>
    </row>
    <row r="7" ht="15.75" customHeight="1">
      <c r="A7" s="22"/>
      <c r="D7" s="26"/>
    </row>
    <row r="8" ht="15.75" customHeight="1">
      <c r="A8" s="22"/>
      <c r="D8" s="26"/>
    </row>
    <row r="9" ht="15.75" customHeight="1">
      <c r="A9" s="22"/>
      <c r="D9" s="26"/>
    </row>
    <row r="10" ht="15.75" customHeight="1">
      <c r="A10" s="22"/>
      <c r="D10" s="26"/>
    </row>
    <row r="11" ht="15.75" customHeight="1">
      <c r="A11" s="22"/>
      <c r="D11" s="26"/>
    </row>
    <row r="12" ht="15.75" customHeight="1">
      <c r="A12" s="22"/>
      <c r="D12" s="26"/>
    </row>
    <row r="13" ht="15.75" customHeight="1">
      <c r="A13" s="22"/>
      <c r="D13" s="26"/>
    </row>
    <row r="14" ht="15.75" customHeight="1">
      <c r="A14" s="22"/>
      <c r="D14" s="26"/>
    </row>
    <row r="15" ht="15.75" customHeight="1">
      <c r="A15" s="22"/>
      <c r="D15" s="26"/>
    </row>
    <row r="16" ht="15.75" customHeight="1">
      <c r="A16" s="22"/>
      <c r="D16" s="26"/>
    </row>
    <row r="17" ht="15.75" customHeight="1">
      <c r="A17" s="22"/>
      <c r="D17" s="26"/>
    </row>
    <row r="18" ht="15.75" customHeight="1">
      <c r="A18" s="22"/>
      <c r="D18" s="26"/>
    </row>
    <row r="19" ht="15.75" customHeight="1">
      <c r="A19" s="22"/>
      <c r="D19" s="26"/>
    </row>
    <row r="20" ht="15.75" customHeight="1">
      <c r="A20" s="22"/>
      <c r="D20" s="26"/>
    </row>
    <row r="21" ht="15.75" customHeight="1">
      <c r="A21" s="22"/>
      <c r="D21" s="26"/>
    </row>
    <row r="22" ht="15.75" customHeight="1">
      <c r="A22" s="22"/>
      <c r="D22" s="26"/>
    </row>
    <row r="23" ht="15.75" customHeight="1">
      <c r="A23" s="22"/>
      <c r="D23" s="26"/>
    </row>
    <row r="24" ht="15.75" customHeight="1">
      <c r="A24" s="22"/>
      <c r="D24" s="26"/>
    </row>
    <row r="25" ht="15.75" customHeight="1">
      <c r="A25" s="22"/>
      <c r="D25" s="26"/>
    </row>
    <row r="26" ht="15.75" customHeight="1">
      <c r="A26" s="22"/>
      <c r="D26" s="26"/>
    </row>
    <row r="27" ht="15.75" customHeight="1">
      <c r="A27" s="22"/>
      <c r="D27" s="26"/>
    </row>
    <row r="28" ht="15.75" customHeight="1">
      <c r="A28" s="22"/>
      <c r="D28" s="26"/>
    </row>
    <row r="29" ht="15.75" customHeight="1">
      <c r="A29" s="11"/>
      <c r="B29" s="12"/>
      <c r="C29" s="12"/>
      <c r="D29" s="2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2">
    <mergeCell ref="A1:D2"/>
    <mergeCell ref="A3:D29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13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22"/>
      <c r="D25" s="21"/>
    </row>
    <row r="26" ht="15.75" customHeight="1">
      <c r="A26" s="22"/>
      <c r="D26" s="21"/>
    </row>
    <row r="27" ht="15.75" customHeight="1">
      <c r="A27" s="22"/>
      <c r="D27" s="21"/>
    </row>
    <row r="28" ht="15.75" customHeight="1">
      <c r="A28" s="22"/>
      <c r="D28" s="21"/>
    </row>
    <row r="29" ht="15.75" customHeight="1">
      <c r="A29" s="22"/>
      <c r="D29" s="21"/>
    </row>
    <row r="30" ht="15.75" customHeight="1">
      <c r="A30" s="22"/>
      <c r="D30" s="21"/>
    </row>
    <row r="31" ht="15.75" customHeight="1">
      <c r="A31" s="22"/>
      <c r="D31" s="21"/>
    </row>
    <row r="32" ht="15.75" customHeight="1">
      <c r="A32" s="22"/>
      <c r="D32" s="21"/>
    </row>
    <row r="33" ht="15.75" customHeight="1">
      <c r="A33" s="22"/>
      <c r="D33" s="21"/>
    </row>
    <row r="34" ht="15.75" customHeight="1">
      <c r="A34" s="22"/>
      <c r="D34" s="21"/>
    </row>
    <row r="35" ht="15.75" customHeight="1">
      <c r="A35" s="22"/>
      <c r="D35" s="21"/>
    </row>
    <row r="36" ht="15.75" customHeight="1">
      <c r="A36" s="22"/>
      <c r="D36" s="21"/>
    </row>
    <row r="37" ht="15.75" customHeight="1">
      <c r="A37" s="22"/>
      <c r="D37" s="21"/>
    </row>
    <row r="38" ht="15.75" customHeight="1">
      <c r="A38" s="22"/>
      <c r="D38" s="21"/>
    </row>
    <row r="39" ht="15.75" customHeight="1">
      <c r="A39" s="22"/>
      <c r="D39" s="21"/>
    </row>
    <row r="40" ht="15.75" customHeight="1">
      <c r="A40" s="22"/>
      <c r="D40" s="21"/>
    </row>
    <row r="41" ht="15.75" customHeight="1">
      <c r="A41" s="22"/>
      <c r="D41" s="21"/>
    </row>
    <row r="42" ht="15.75" customHeight="1">
      <c r="A42" s="22"/>
      <c r="D42" s="21"/>
    </row>
    <row r="43" ht="15.75" customHeight="1">
      <c r="A43" s="22"/>
      <c r="D43" s="21"/>
    </row>
    <row r="44" ht="15.75" customHeight="1">
      <c r="A44" s="22"/>
      <c r="D44" s="21"/>
    </row>
    <row r="45" ht="15.75" customHeight="1">
      <c r="A45" s="22"/>
      <c r="D45" s="21"/>
    </row>
    <row r="46" ht="15.75" customHeight="1">
      <c r="A46" s="22"/>
      <c r="D46" s="21"/>
    </row>
    <row r="47" ht="15.75" customHeight="1">
      <c r="A47" s="22"/>
      <c r="D47" s="21"/>
    </row>
    <row r="48" ht="15.75" customHeight="1">
      <c r="A48" s="22"/>
      <c r="D48" s="21"/>
    </row>
    <row r="49" ht="15.75" customHeight="1">
      <c r="A49" s="22"/>
      <c r="D49" s="21"/>
    </row>
    <row r="50" ht="15.75" customHeight="1">
      <c r="A50" s="22"/>
      <c r="D50" s="21"/>
    </row>
    <row r="51" ht="15.75" customHeight="1">
      <c r="A51" s="22"/>
      <c r="D51" s="21"/>
    </row>
    <row r="52" ht="15.75" customHeight="1">
      <c r="A52" s="22"/>
      <c r="D52" s="21"/>
    </row>
    <row r="53" ht="15.75" customHeight="1">
      <c r="A53" s="22"/>
      <c r="D53" s="21"/>
    </row>
    <row r="54" ht="15.75" customHeight="1">
      <c r="A54" s="22"/>
      <c r="D54" s="21"/>
    </row>
    <row r="55" ht="15.75" customHeight="1">
      <c r="A55" s="22"/>
      <c r="D55" s="21"/>
    </row>
    <row r="56" ht="15.75" customHeight="1">
      <c r="A56" s="22"/>
      <c r="D56" s="21"/>
    </row>
    <row r="57" ht="15.75" customHeight="1">
      <c r="A57" s="22"/>
      <c r="D57" s="21"/>
    </row>
    <row r="58" ht="15.75" customHeight="1">
      <c r="A58" s="22"/>
      <c r="D58" s="21"/>
    </row>
    <row r="59" ht="15.75" customHeight="1">
      <c r="A59" s="22"/>
      <c r="D59" s="21"/>
    </row>
    <row r="60" ht="15.75" customHeight="1">
      <c r="A60" s="22"/>
      <c r="D60" s="21"/>
    </row>
    <row r="61" ht="15.75" customHeight="1">
      <c r="A61" s="22"/>
      <c r="D61" s="21"/>
    </row>
    <row r="62" ht="15.75" customHeight="1">
      <c r="A62" s="22"/>
      <c r="D62" s="21"/>
    </row>
    <row r="63" ht="15.75" customHeight="1">
      <c r="A63" s="22"/>
      <c r="D63" s="21"/>
    </row>
    <row r="64" ht="15.75" customHeight="1">
      <c r="A64" s="22"/>
      <c r="D64" s="21"/>
    </row>
    <row r="65" ht="15.75" customHeight="1">
      <c r="A65" s="22"/>
      <c r="D65" s="21"/>
    </row>
    <row r="66" ht="15.75" customHeight="1">
      <c r="A66" s="22"/>
      <c r="D66" s="21"/>
    </row>
    <row r="67" ht="15.75" customHeight="1">
      <c r="A67" s="22"/>
      <c r="D67" s="21"/>
    </row>
    <row r="68" ht="15.75" customHeight="1">
      <c r="A68" s="22"/>
      <c r="D68" s="21"/>
    </row>
    <row r="69" ht="15.75" customHeight="1">
      <c r="A69" s="22"/>
      <c r="D69" s="21"/>
    </row>
    <row r="70" ht="15.75" customHeight="1">
      <c r="A70" s="22"/>
      <c r="D70" s="21"/>
    </row>
    <row r="71" ht="15.75" customHeight="1">
      <c r="A71" s="22"/>
      <c r="D71" s="21"/>
    </row>
    <row r="72" ht="15.75" customHeight="1">
      <c r="A72" s="22"/>
      <c r="D72" s="21"/>
    </row>
    <row r="73" ht="15.75" customHeight="1">
      <c r="A73" s="22"/>
      <c r="D73" s="21"/>
    </row>
    <row r="74" ht="15.75" customHeight="1">
      <c r="A74" s="22"/>
      <c r="D74" s="21"/>
    </row>
    <row r="75" ht="15.75" customHeight="1">
      <c r="A75" s="22"/>
      <c r="D75" s="21"/>
    </row>
    <row r="76" ht="15.75" customHeight="1">
      <c r="A76" s="11"/>
      <c r="B76" s="12"/>
      <c r="C76" s="12"/>
      <c r="D76" s="23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">
    <mergeCell ref="A1:D2"/>
    <mergeCell ref="A3:D76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14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14"/>
      <c r="B3" s="9"/>
      <c r="C3" s="9"/>
      <c r="D3" s="10"/>
    </row>
    <row r="4" ht="15.75" customHeight="1">
      <c r="A4" s="22"/>
      <c r="D4" s="27"/>
    </row>
    <row r="5" ht="15.75" customHeight="1">
      <c r="A5" s="22"/>
      <c r="D5" s="27"/>
    </row>
    <row r="6" ht="15.75" customHeight="1">
      <c r="A6" s="22"/>
      <c r="D6" s="27"/>
    </row>
    <row r="7" ht="15.75" customHeight="1">
      <c r="A7" s="22"/>
      <c r="D7" s="27"/>
    </row>
    <row r="8" ht="15.75" customHeight="1">
      <c r="A8" s="11"/>
      <c r="B8" s="12"/>
      <c r="C8" s="12"/>
      <c r="D8" s="13"/>
    </row>
    <row r="9" ht="15.75" customHeight="1">
      <c r="A9" s="20"/>
      <c r="B9" s="19"/>
      <c r="C9" s="19"/>
      <c r="D9" s="28"/>
    </row>
    <row r="10" ht="15.75" customHeight="1">
      <c r="A10" s="20"/>
      <c r="B10" s="19"/>
      <c r="C10" s="19"/>
      <c r="D10" s="28"/>
    </row>
    <row r="11" ht="15.75" customHeight="1">
      <c r="A11" s="20"/>
      <c r="B11" s="19"/>
      <c r="C11" s="19"/>
      <c r="D11" s="28"/>
    </row>
    <row r="12" ht="15.75" customHeight="1">
      <c r="A12" s="20"/>
      <c r="B12" s="19"/>
      <c r="C12" s="19"/>
      <c r="D12" s="28"/>
    </row>
    <row r="13" ht="15.75" customHeight="1">
      <c r="A13" s="20"/>
      <c r="B13" s="19"/>
      <c r="C13" s="19"/>
      <c r="D13" s="28"/>
    </row>
    <row r="14" ht="15.75" customHeight="1">
      <c r="A14" s="20"/>
      <c r="B14" s="19"/>
      <c r="C14" s="19"/>
      <c r="D14" s="28"/>
    </row>
    <row r="15" ht="15.75" customHeight="1">
      <c r="A15" s="20"/>
      <c r="B15" s="19"/>
      <c r="C15" s="19"/>
      <c r="D15" s="28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9"/>
      <c r="B37" s="30"/>
      <c r="C37" s="30"/>
      <c r="D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2">
    <mergeCell ref="A1:D2"/>
    <mergeCell ref="A3:D8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15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14"/>
      <c r="B3" s="9"/>
      <c r="C3" s="9"/>
      <c r="D3" s="10"/>
    </row>
    <row r="4" ht="15.75" customHeight="1">
      <c r="A4" s="22"/>
      <c r="D4" s="27"/>
    </row>
    <row r="5" ht="15.75" customHeight="1">
      <c r="A5" s="22"/>
      <c r="D5" s="27"/>
    </row>
    <row r="6" ht="15.75" customHeight="1">
      <c r="A6" s="22"/>
      <c r="D6" s="27"/>
    </row>
    <row r="7" ht="15.75" customHeight="1">
      <c r="A7" s="22"/>
      <c r="D7" s="27"/>
    </row>
    <row r="8" ht="15.75" customHeight="1">
      <c r="A8" s="22"/>
      <c r="D8" s="27"/>
    </row>
    <row r="9" ht="15.75" customHeight="1">
      <c r="A9" s="22"/>
      <c r="D9" s="27"/>
    </row>
    <row r="10" ht="15.75" customHeight="1">
      <c r="A10" s="22"/>
      <c r="D10" s="27"/>
    </row>
    <row r="11" ht="15.75" customHeight="1">
      <c r="A11" s="22"/>
      <c r="D11" s="27"/>
    </row>
    <row r="12" ht="15.75" customHeight="1">
      <c r="A12" s="22"/>
      <c r="D12" s="27"/>
    </row>
    <row r="13" ht="15.75" customHeight="1">
      <c r="A13" s="22"/>
      <c r="D13" s="27"/>
    </row>
    <row r="14" ht="15.75" customHeight="1">
      <c r="A14" s="22"/>
      <c r="D14" s="27"/>
    </row>
    <row r="15" ht="15.75" customHeight="1">
      <c r="A15" s="22"/>
      <c r="D15" s="27"/>
    </row>
    <row r="16" ht="15.75" customHeight="1">
      <c r="A16" s="22"/>
      <c r="D16" s="27"/>
    </row>
    <row r="17" ht="15.75" customHeight="1">
      <c r="A17" s="22"/>
      <c r="D17" s="27"/>
    </row>
    <row r="18" ht="15.75" customHeight="1">
      <c r="A18" s="22"/>
      <c r="D18" s="27"/>
    </row>
    <row r="19" ht="15.75" customHeight="1">
      <c r="A19" s="22"/>
      <c r="D19" s="27"/>
    </row>
    <row r="20" ht="15.75" customHeight="1">
      <c r="A20" s="22"/>
      <c r="D20" s="27"/>
    </row>
    <row r="21" ht="15.75" customHeight="1">
      <c r="A21" s="22"/>
      <c r="D21" s="27"/>
    </row>
    <row r="22" ht="15.75" customHeight="1">
      <c r="A22" s="11"/>
      <c r="B22" s="12"/>
      <c r="C22" s="12"/>
      <c r="D22" s="13"/>
    </row>
    <row r="23" ht="15.75" customHeight="1">
      <c r="A23" s="32"/>
      <c r="B23" s="33"/>
      <c r="C23" s="33"/>
      <c r="D23" s="34"/>
    </row>
    <row r="24" ht="15.75" customHeight="1">
      <c r="A24" s="32"/>
      <c r="B24" s="33"/>
      <c r="C24" s="33"/>
      <c r="D24" s="34"/>
    </row>
    <row r="25" ht="15.75" customHeight="1">
      <c r="A25" s="32"/>
      <c r="B25" s="33"/>
      <c r="C25" s="33"/>
      <c r="D25" s="34"/>
    </row>
    <row r="26" ht="15.75" customHeight="1">
      <c r="A26" s="32"/>
      <c r="B26" s="33"/>
      <c r="C26" s="33"/>
      <c r="D26" s="34"/>
    </row>
    <row r="27" ht="15.75" customHeight="1">
      <c r="A27" s="32"/>
      <c r="B27" s="33"/>
      <c r="C27" s="33"/>
      <c r="D27" s="34"/>
    </row>
    <row r="28" ht="15.75" customHeight="1">
      <c r="A28" s="32"/>
      <c r="B28" s="33"/>
      <c r="C28" s="33"/>
      <c r="D28" s="34"/>
    </row>
    <row r="29" ht="15.75" customHeight="1">
      <c r="A29" s="32"/>
      <c r="B29" s="33"/>
      <c r="C29" s="33"/>
      <c r="D29" s="34"/>
    </row>
    <row r="30" ht="15.75" customHeight="1">
      <c r="A30" s="33"/>
      <c r="B30" s="33"/>
      <c r="C30" s="33"/>
      <c r="D30" s="34"/>
    </row>
    <row r="31" ht="15.75" customHeight="1">
      <c r="A31" s="33"/>
      <c r="B31" s="33"/>
      <c r="C31" s="33"/>
      <c r="D31" s="34"/>
    </row>
    <row r="32" ht="15.75" customHeight="1">
      <c r="A32" s="32"/>
      <c r="B32" s="33"/>
      <c r="C32" s="33"/>
      <c r="D32" s="34"/>
    </row>
    <row r="33" ht="15.75" customHeight="1">
      <c r="A33" s="32"/>
      <c r="B33" s="33"/>
      <c r="C33" s="33"/>
      <c r="D33" s="34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0"/>
      <c r="B37" s="19"/>
      <c r="C37" s="19"/>
      <c r="D37" s="28"/>
    </row>
    <row r="38" ht="15.75" customHeight="1">
      <c r="A38" s="20"/>
      <c r="B38" s="19"/>
      <c r="C38" s="19"/>
      <c r="D38" s="28"/>
    </row>
    <row r="39" ht="15.75" customHeight="1">
      <c r="A39" s="20"/>
      <c r="B39" s="19"/>
      <c r="C39" s="19"/>
      <c r="D39" s="28"/>
    </row>
    <row r="40" ht="15.75" customHeight="1">
      <c r="A40" s="20"/>
      <c r="B40" s="19"/>
      <c r="C40" s="19"/>
      <c r="D40" s="28"/>
    </row>
    <row r="41" ht="15.75" customHeight="1">
      <c r="A41" s="20"/>
      <c r="B41" s="19"/>
      <c r="C41" s="19"/>
      <c r="D41" s="28"/>
    </row>
    <row r="42" ht="15.75" customHeight="1">
      <c r="A42" s="20"/>
      <c r="B42" s="19"/>
      <c r="C42" s="19"/>
      <c r="D42" s="28"/>
    </row>
    <row r="43" ht="15.75" customHeight="1">
      <c r="A43" s="20"/>
      <c r="B43" s="19"/>
      <c r="C43" s="19"/>
      <c r="D43" s="28"/>
    </row>
    <row r="44" ht="15.75" customHeight="1">
      <c r="A44" s="20"/>
      <c r="B44" s="19"/>
      <c r="C44" s="19"/>
      <c r="D44" s="28"/>
    </row>
    <row r="45" ht="15.75" customHeight="1">
      <c r="A45" s="29"/>
      <c r="B45" s="30"/>
      <c r="C45" s="30"/>
      <c r="D45" s="3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">
    <mergeCell ref="A1:D2"/>
    <mergeCell ref="A3:D22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16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22"/>
      <c r="D25" s="21"/>
    </row>
    <row r="26" ht="15.75" customHeight="1">
      <c r="A26" s="22"/>
      <c r="D26" s="21"/>
    </row>
    <row r="27" ht="15.75" customHeight="1">
      <c r="A27" s="22"/>
      <c r="D27" s="21"/>
    </row>
    <row r="28" ht="15.75" customHeight="1">
      <c r="A28" s="22"/>
      <c r="D28" s="21"/>
    </row>
    <row r="29" ht="15.75" customHeight="1">
      <c r="A29" s="22"/>
      <c r="D29" s="21"/>
    </row>
    <row r="30" ht="15.75" customHeight="1">
      <c r="A30" s="22"/>
      <c r="D30" s="21"/>
    </row>
    <row r="31" ht="15.75" customHeight="1">
      <c r="A31" s="22"/>
      <c r="D31" s="21"/>
    </row>
    <row r="32" ht="15.75" customHeight="1">
      <c r="A32" s="22"/>
      <c r="D32" s="21"/>
    </row>
    <row r="33" ht="15.75" customHeight="1">
      <c r="A33" s="22"/>
      <c r="D33" s="21"/>
    </row>
    <row r="34" ht="15.75" customHeight="1">
      <c r="A34" s="22"/>
      <c r="D34" s="21"/>
    </row>
    <row r="35" ht="15.75" customHeight="1">
      <c r="A35" s="22"/>
      <c r="D35" s="21"/>
    </row>
    <row r="36" ht="15.75" customHeight="1">
      <c r="A36" s="22"/>
      <c r="D36" s="21"/>
    </row>
    <row r="37" ht="15.75" customHeight="1">
      <c r="A37" s="22"/>
      <c r="D37" s="21"/>
    </row>
    <row r="38" ht="15.75" customHeight="1">
      <c r="A38" s="22"/>
      <c r="D38" s="21"/>
    </row>
    <row r="39" ht="15.75" customHeight="1">
      <c r="A39" s="22"/>
      <c r="D39" s="21"/>
    </row>
    <row r="40" ht="15.75" customHeight="1">
      <c r="A40" s="22"/>
      <c r="D40" s="21"/>
    </row>
    <row r="41" ht="15.75" customHeight="1">
      <c r="A41" s="22"/>
      <c r="D41" s="21"/>
    </row>
    <row r="42" ht="15.75" customHeight="1">
      <c r="A42" s="22"/>
      <c r="D42" s="21"/>
    </row>
    <row r="43" ht="15.75" customHeight="1">
      <c r="A43" s="22"/>
      <c r="D43" s="21"/>
    </row>
    <row r="44" ht="15.75" customHeight="1">
      <c r="A44" s="22"/>
      <c r="D44" s="21"/>
    </row>
    <row r="45" ht="15.75" customHeight="1">
      <c r="A45" s="22"/>
      <c r="D45" s="21"/>
    </row>
    <row r="46" ht="15.75" customHeight="1">
      <c r="A46" s="22"/>
      <c r="D46" s="21"/>
    </row>
    <row r="47" ht="15.75" customHeight="1">
      <c r="A47" s="22"/>
      <c r="D47" s="21"/>
    </row>
    <row r="48" ht="15.75" customHeight="1">
      <c r="A48" s="22"/>
      <c r="D48" s="21"/>
    </row>
    <row r="49" ht="15.75" customHeight="1">
      <c r="A49" s="22"/>
      <c r="D49" s="21"/>
    </row>
    <row r="50" ht="15.75" customHeight="1">
      <c r="A50" s="22"/>
      <c r="D50" s="21"/>
    </row>
    <row r="51" ht="15.75" customHeight="1">
      <c r="A51" s="22"/>
      <c r="D51" s="21"/>
    </row>
    <row r="52" ht="15.75" customHeight="1">
      <c r="A52" s="22"/>
      <c r="D52" s="21"/>
    </row>
    <row r="53" ht="15.75" customHeight="1">
      <c r="A53" s="22"/>
      <c r="D53" s="21"/>
    </row>
    <row r="54" ht="15.75" customHeight="1">
      <c r="A54" s="22"/>
      <c r="D54" s="21"/>
    </row>
    <row r="55" ht="15.75" customHeight="1">
      <c r="A55" s="22"/>
      <c r="D55" s="21"/>
    </row>
    <row r="56" ht="15.75" customHeight="1">
      <c r="A56" s="22"/>
      <c r="D56" s="21"/>
    </row>
    <row r="57" ht="15.75" customHeight="1">
      <c r="A57" s="22"/>
      <c r="D57" s="21"/>
    </row>
    <row r="58" ht="15.75" customHeight="1">
      <c r="A58" s="22"/>
      <c r="D58" s="21"/>
    </row>
    <row r="59" ht="15.75" customHeight="1">
      <c r="A59" s="22"/>
      <c r="D59" s="21"/>
    </row>
    <row r="60" ht="15.75" customHeight="1">
      <c r="A60" s="22"/>
      <c r="D60" s="21"/>
    </row>
    <row r="61" ht="15.75" customHeight="1">
      <c r="A61" s="22"/>
      <c r="D61" s="21"/>
    </row>
    <row r="62" ht="15.75" customHeight="1">
      <c r="A62" s="22"/>
      <c r="D62" s="21"/>
    </row>
    <row r="63" ht="15.75" customHeight="1">
      <c r="A63" s="22"/>
      <c r="D63" s="21"/>
    </row>
    <row r="64" ht="15.75" customHeight="1">
      <c r="A64" s="22"/>
      <c r="D64" s="21"/>
    </row>
    <row r="65" ht="15.75" customHeight="1">
      <c r="A65" s="22"/>
      <c r="D65" s="21"/>
    </row>
    <row r="66" ht="15.75" customHeight="1">
      <c r="A66" s="22"/>
      <c r="D66" s="21"/>
    </row>
    <row r="67" ht="15.75" customHeight="1">
      <c r="A67" s="22"/>
      <c r="D67" s="21"/>
    </row>
    <row r="68" ht="15.75" customHeight="1">
      <c r="A68" s="22"/>
      <c r="D68" s="21"/>
    </row>
    <row r="69" ht="15.75" customHeight="1">
      <c r="A69" s="22"/>
      <c r="D69" s="21"/>
    </row>
    <row r="70" ht="15.75" customHeight="1">
      <c r="A70" s="22"/>
      <c r="D70" s="21"/>
    </row>
    <row r="71" ht="15.75" customHeight="1">
      <c r="A71" s="22"/>
      <c r="D71" s="21"/>
    </row>
    <row r="72" ht="15.75" customHeight="1">
      <c r="A72" s="22"/>
      <c r="D72" s="21"/>
    </row>
    <row r="73" ht="15.75" customHeight="1">
      <c r="A73" s="22"/>
      <c r="D73" s="21"/>
    </row>
    <row r="74" ht="15.75" customHeight="1">
      <c r="A74" s="22"/>
      <c r="D74" s="21"/>
    </row>
    <row r="75" ht="15.75" customHeight="1">
      <c r="A75" s="22"/>
      <c r="D75" s="21"/>
    </row>
    <row r="76" ht="15.75" customHeight="1">
      <c r="A76" s="22"/>
      <c r="D76" s="21"/>
    </row>
    <row r="77" ht="15.75" customHeight="1">
      <c r="A77" s="22"/>
      <c r="D77" s="21"/>
    </row>
    <row r="78" ht="15.75" customHeight="1">
      <c r="A78" s="22"/>
      <c r="D78" s="21"/>
    </row>
    <row r="79" ht="15.75" customHeight="1">
      <c r="A79" s="22"/>
      <c r="D79" s="21"/>
    </row>
    <row r="80" ht="15.75" customHeight="1">
      <c r="A80" s="11"/>
      <c r="B80" s="12"/>
      <c r="C80" s="12"/>
      <c r="D80" s="2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2">
    <mergeCell ref="A1:D2"/>
    <mergeCell ref="A3:D80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17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14"/>
      <c r="B3" s="9"/>
      <c r="C3" s="9"/>
      <c r="D3" s="35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11"/>
      <c r="B25" s="12"/>
      <c r="C25" s="12"/>
      <c r="D25" s="23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0"/>
      <c r="B37" s="19"/>
      <c r="C37" s="19"/>
      <c r="D37" s="28"/>
    </row>
    <row r="38" ht="15.75" customHeight="1">
      <c r="A38" s="20"/>
      <c r="B38" s="19"/>
      <c r="C38" s="19"/>
      <c r="D38" s="28"/>
    </row>
    <row r="39" ht="15.75" customHeight="1">
      <c r="A39" s="20"/>
      <c r="B39" s="19"/>
      <c r="C39" s="19"/>
      <c r="D39" s="28"/>
    </row>
    <row r="40" ht="15.75" customHeight="1">
      <c r="A40" s="20"/>
      <c r="B40" s="19"/>
      <c r="C40" s="19"/>
      <c r="D40" s="28"/>
    </row>
    <row r="41" ht="15.75" customHeight="1">
      <c r="A41" s="20"/>
      <c r="B41" s="19"/>
      <c r="C41" s="19"/>
      <c r="D41" s="28"/>
    </row>
    <row r="42" ht="15.75" customHeight="1">
      <c r="A42" s="20"/>
      <c r="B42" s="19"/>
      <c r="C42" s="19"/>
      <c r="D42" s="28"/>
    </row>
    <row r="43" ht="15.75" customHeight="1">
      <c r="A43" s="20"/>
      <c r="B43" s="19"/>
      <c r="C43" s="19"/>
      <c r="D43" s="28"/>
    </row>
    <row r="44" ht="15.75" customHeight="1">
      <c r="A44" s="20"/>
      <c r="B44" s="19"/>
      <c r="C44" s="19"/>
      <c r="D44" s="28"/>
    </row>
    <row r="45" ht="15.75" customHeight="1">
      <c r="A45" s="29"/>
      <c r="B45" s="30"/>
      <c r="C45" s="30"/>
      <c r="D45" s="3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">
    <mergeCell ref="A1:D2"/>
    <mergeCell ref="A3:D2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18</v>
      </c>
      <c r="B1" s="9"/>
      <c r="C1" s="9"/>
      <c r="D1" s="10"/>
    </row>
    <row r="2" ht="15.75" customHeight="1">
      <c r="A2" s="11"/>
      <c r="B2" s="12"/>
      <c r="C2" s="12"/>
      <c r="D2" s="13"/>
    </row>
    <row r="3" ht="34.5" customHeight="1">
      <c r="A3" s="20"/>
      <c r="D3" s="21"/>
    </row>
    <row r="4" ht="30.75" customHeight="1">
      <c r="A4" s="11"/>
      <c r="B4" s="12"/>
      <c r="C4" s="12"/>
      <c r="D4" s="23"/>
    </row>
    <row r="5" ht="15.75" customHeight="1">
      <c r="A5" s="20"/>
      <c r="B5" s="19"/>
      <c r="C5" s="19"/>
      <c r="D5" s="28"/>
    </row>
    <row r="6" ht="15.75" customHeight="1">
      <c r="A6" s="20"/>
      <c r="B6" s="19"/>
      <c r="C6" s="19"/>
      <c r="D6" s="28"/>
    </row>
    <row r="7" ht="15.75" customHeight="1">
      <c r="A7" s="20"/>
      <c r="B7" s="19"/>
      <c r="C7" s="19"/>
      <c r="D7" s="28"/>
    </row>
    <row r="8" ht="15.75" customHeight="1">
      <c r="A8" s="20"/>
      <c r="B8" s="19"/>
      <c r="C8" s="19"/>
      <c r="D8" s="28"/>
    </row>
    <row r="9" ht="15.75" customHeight="1">
      <c r="A9" s="20"/>
      <c r="B9" s="19"/>
      <c r="C9" s="19"/>
      <c r="D9" s="28"/>
    </row>
    <row r="10" ht="15.75" customHeight="1">
      <c r="A10" s="20"/>
      <c r="B10" s="19"/>
      <c r="C10" s="19"/>
      <c r="D10" s="28"/>
    </row>
    <row r="11" ht="15.75" customHeight="1">
      <c r="A11" s="20"/>
      <c r="B11" s="19"/>
      <c r="C11" s="19"/>
      <c r="D11" s="28"/>
    </row>
    <row r="12" ht="15.75" customHeight="1">
      <c r="A12" s="20"/>
      <c r="B12" s="19"/>
      <c r="C12" s="19"/>
      <c r="D12" s="28"/>
    </row>
    <row r="13" ht="15.75" customHeight="1">
      <c r="A13" s="20"/>
      <c r="B13" s="19"/>
      <c r="C13" s="19"/>
      <c r="D13" s="28"/>
    </row>
    <row r="14" ht="15.75" customHeight="1">
      <c r="A14" s="20"/>
      <c r="B14" s="19"/>
      <c r="C14" s="19"/>
      <c r="D14" s="28"/>
    </row>
    <row r="15" ht="15.75" customHeight="1">
      <c r="A15" s="20"/>
      <c r="B15" s="19"/>
      <c r="C15" s="19"/>
      <c r="D15" s="28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9"/>
      <c r="B37" s="30"/>
      <c r="C37" s="30"/>
      <c r="D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2">
    <mergeCell ref="A1:D2"/>
    <mergeCell ref="A3:D4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19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11"/>
      <c r="B7" s="12"/>
      <c r="C7" s="12"/>
      <c r="D7" s="23"/>
    </row>
    <row r="8" ht="15.75" customHeight="1">
      <c r="A8" s="20"/>
      <c r="B8" s="19"/>
      <c r="C8" s="19"/>
      <c r="D8" s="28"/>
    </row>
    <row r="9" ht="15.75" customHeight="1">
      <c r="A9" s="20"/>
      <c r="B9" s="19"/>
      <c r="C9" s="19"/>
      <c r="D9" s="28"/>
    </row>
    <row r="10" ht="15.75" customHeight="1">
      <c r="A10" s="20"/>
      <c r="B10" s="19"/>
      <c r="C10" s="19"/>
      <c r="D10" s="28"/>
    </row>
    <row r="11" ht="15.75" customHeight="1">
      <c r="A11" s="20"/>
      <c r="B11" s="19"/>
      <c r="C11" s="19"/>
      <c r="D11" s="28"/>
    </row>
    <row r="12" ht="15.75" customHeight="1">
      <c r="A12" s="20"/>
      <c r="B12" s="19"/>
      <c r="C12" s="19"/>
      <c r="D12" s="28"/>
    </row>
    <row r="13" ht="15.75" customHeight="1">
      <c r="A13" s="20"/>
      <c r="B13" s="19"/>
      <c r="C13" s="19"/>
      <c r="D13" s="28"/>
    </row>
    <row r="14" ht="15.75" customHeight="1">
      <c r="A14" s="20"/>
      <c r="B14" s="19"/>
      <c r="C14" s="19"/>
      <c r="D14" s="28"/>
    </row>
    <row r="15" ht="15.75" customHeight="1">
      <c r="A15" s="20"/>
      <c r="B15" s="19"/>
      <c r="C15" s="19"/>
      <c r="D15" s="28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9"/>
      <c r="B37" s="30"/>
      <c r="C37" s="30"/>
      <c r="D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2">
    <mergeCell ref="A1:D2"/>
    <mergeCell ref="A3:D7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20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11"/>
      <c r="B7" s="12"/>
      <c r="C7" s="12"/>
      <c r="D7" s="23"/>
    </row>
    <row r="8" ht="15.75" hidden="1" customHeight="1">
      <c r="A8" s="8" t="s">
        <v>21</v>
      </c>
      <c r="B8" s="9"/>
      <c r="C8" s="9"/>
      <c r="D8" s="10"/>
    </row>
    <row r="9" ht="15.75" hidden="1" customHeight="1">
      <c r="A9" s="11"/>
      <c r="B9" s="12"/>
      <c r="C9" s="12"/>
      <c r="D9" s="13"/>
    </row>
    <row r="10" ht="15.75" hidden="1" customHeight="1">
      <c r="A10" s="36" t="s">
        <v>22</v>
      </c>
      <c r="D10" s="21"/>
    </row>
    <row r="11" ht="15.75" hidden="1" customHeight="1">
      <c r="A11" s="22"/>
      <c r="D11" s="21"/>
    </row>
    <row r="12" ht="15.75" hidden="1" customHeight="1">
      <c r="A12" s="22"/>
      <c r="D12" s="21"/>
    </row>
    <row r="13" ht="15.75" hidden="1" customHeight="1">
      <c r="A13" s="22"/>
      <c r="D13" s="21"/>
    </row>
    <row r="14" ht="15.75" hidden="1" customHeight="1">
      <c r="A14" s="22"/>
      <c r="D14" s="21"/>
    </row>
    <row r="15" ht="15.75" hidden="1" customHeight="1">
      <c r="A15" s="11"/>
      <c r="B15" s="12"/>
      <c r="C15" s="12"/>
      <c r="D15" s="23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0"/>
      <c r="B37" s="19"/>
      <c r="C37" s="19"/>
      <c r="D37" s="28"/>
    </row>
    <row r="38" ht="15.75" customHeight="1">
      <c r="A38" s="20"/>
      <c r="B38" s="19"/>
      <c r="C38" s="19"/>
      <c r="D38" s="28"/>
    </row>
    <row r="39" ht="15.75" customHeight="1">
      <c r="A39" s="20"/>
      <c r="B39" s="19"/>
      <c r="C39" s="19"/>
      <c r="D39" s="28"/>
    </row>
    <row r="40" ht="15.75" customHeight="1">
      <c r="A40" s="20"/>
      <c r="B40" s="19"/>
      <c r="C40" s="19"/>
      <c r="D40" s="28"/>
    </row>
    <row r="41" ht="15.75" customHeight="1">
      <c r="A41" s="20"/>
      <c r="B41" s="19"/>
      <c r="C41" s="19"/>
      <c r="D41" s="28"/>
    </row>
    <row r="42" ht="15.75" customHeight="1">
      <c r="A42" s="20"/>
      <c r="B42" s="19"/>
      <c r="C42" s="19"/>
      <c r="D42" s="28"/>
    </row>
    <row r="43" ht="15.75" customHeight="1">
      <c r="A43" s="20"/>
      <c r="B43" s="19"/>
      <c r="C43" s="19"/>
      <c r="D43" s="28"/>
    </row>
    <row r="44" ht="15.75" customHeight="1">
      <c r="A44" s="20"/>
      <c r="B44" s="19"/>
      <c r="C44" s="19"/>
      <c r="D44" s="28"/>
    </row>
    <row r="45" ht="15.75" customHeight="1">
      <c r="A45" s="29"/>
      <c r="B45" s="30"/>
      <c r="C45" s="30"/>
      <c r="D45" s="3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4">
    <mergeCell ref="A1:D2"/>
    <mergeCell ref="A3:D7"/>
    <mergeCell ref="A8:D9"/>
    <mergeCell ref="A10:D1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8.88"/>
    <col customWidth="1" min="3" max="6" width="20.88"/>
  </cols>
  <sheetData>
    <row r="1" ht="15.75" customHeight="1">
      <c r="A1" s="8" t="s">
        <v>23</v>
      </c>
      <c r="B1" s="9"/>
      <c r="C1" s="10"/>
      <c r="D1" s="7"/>
    </row>
    <row r="2" ht="15.75" customHeight="1">
      <c r="A2" s="11"/>
      <c r="B2" s="12"/>
      <c r="C2" s="13"/>
    </row>
    <row r="3" ht="15.75" customHeight="1">
      <c r="A3" s="37" t="s">
        <v>24</v>
      </c>
      <c r="B3" s="37" t="s">
        <v>25</v>
      </c>
      <c r="C3" s="37" t="s">
        <v>26</v>
      </c>
    </row>
    <row r="4" ht="15.75" customHeight="1">
      <c r="A4" s="38" t="s">
        <v>27</v>
      </c>
      <c r="B4" s="39"/>
      <c r="C4" s="39"/>
    </row>
    <row r="5" ht="15.75" customHeight="1">
      <c r="A5" s="38" t="s">
        <v>27</v>
      </c>
      <c r="B5" s="39"/>
      <c r="C5" s="39"/>
    </row>
    <row r="6" ht="15.75" customHeight="1">
      <c r="A6" s="38" t="s">
        <v>27</v>
      </c>
      <c r="B6" s="39"/>
      <c r="C6" s="39"/>
    </row>
    <row r="7" ht="15.75" customHeight="1">
      <c r="A7" s="38" t="s">
        <v>27</v>
      </c>
      <c r="B7" s="39"/>
      <c r="C7" s="39"/>
    </row>
    <row r="8" ht="15.75" customHeight="1">
      <c r="A8" s="38" t="s">
        <v>27</v>
      </c>
      <c r="B8" s="39"/>
      <c r="C8" s="39"/>
    </row>
    <row r="9" ht="15.75" customHeight="1">
      <c r="A9" s="38" t="s">
        <v>27</v>
      </c>
      <c r="B9" s="39"/>
      <c r="C9" s="39"/>
    </row>
    <row r="10" ht="15.75" customHeight="1">
      <c r="A10" s="38" t="s">
        <v>27</v>
      </c>
      <c r="B10" s="39"/>
      <c r="C10" s="39"/>
    </row>
    <row r="11" ht="15.75" customHeight="1">
      <c r="A11" s="38" t="s">
        <v>27</v>
      </c>
      <c r="B11" s="39"/>
      <c r="C11" s="39"/>
    </row>
    <row r="12" ht="15.75" customHeight="1">
      <c r="A12" s="38" t="s">
        <v>27</v>
      </c>
      <c r="B12" s="39"/>
      <c r="C12" s="39"/>
    </row>
    <row r="13" ht="15.75" customHeight="1">
      <c r="A13" s="38" t="s">
        <v>27</v>
      </c>
      <c r="B13" s="39"/>
      <c r="C13" s="39"/>
    </row>
    <row r="14" ht="15.75" customHeight="1"/>
    <row r="15" ht="15.75" customHeight="1">
      <c r="A15" s="8" t="s">
        <v>28</v>
      </c>
      <c r="B15" s="9"/>
      <c r="C15" s="9"/>
      <c r="D15" s="9"/>
      <c r="E15" s="9"/>
      <c r="F15" s="10"/>
    </row>
    <row r="16" ht="15.75" customHeight="1">
      <c r="A16" s="11"/>
      <c r="B16" s="12"/>
      <c r="C16" s="12"/>
      <c r="D16" s="12"/>
      <c r="E16" s="12"/>
      <c r="F16" s="13"/>
    </row>
    <row r="17" ht="15.75" customHeight="1">
      <c r="A17" s="40" t="s">
        <v>29</v>
      </c>
      <c r="B17" s="41"/>
      <c r="C17" s="42"/>
      <c r="D17" s="40" t="s">
        <v>29</v>
      </c>
      <c r="E17" s="41"/>
      <c r="F17" s="42"/>
    </row>
    <row r="18" ht="15.75" customHeight="1">
      <c r="A18" s="43" t="s">
        <v>24</v>
      </c>
      <c r="B18" s="43" t="s">
        <v>25</v>
      </c>
      <c r="C18" s="43" t="s">
        <v>26</v>
      </c>
      <c r="D18" s="43" t="s">
        <v>24</v>
      </c>
      <c r="E18" s="43" t="s">
        <v>25</v>
      </c>
      <c r="F18" s="43" t="s">
        <v>26</v>
      </c>
    </row>
    <row r="19" ht="15.75" customHeight="1">
      <c r="A19" s="44" t="s">
        <v>27</v>
      </c>
      <c r="B19" s="45"/>
      <c r="C19" s="45"/>
      <c r="D19" s="44"/>
      <c r="E19" s="45"/>
      <c r="F19" s="45"/>
    </row>
    <row r="20" ht="15.75" customHeight="1">
      <c r="A20" s="44" t="s">
        <v>27</v>
      </c>
      <c r="B20" s="45"/>
      <c r="C20" s="45"/>
      <c r="D20" s="44"/>
      <c r="E20" s="45"/>
      <c r="F20" s="45"/>
    </row>
    <row r="21" ht="15.75" customHeight="1">
      <c r="A21" s="44" t="s">
        <v>27</v>
      </c>
      <c r="B21" s="45"/>
      <c r="C21" s="45"/>
      <c r="D21" s="44"/>
      <c r="E21" s="45"/>
      <c r="F21" s="45"/>
    </row>
    <row r="22" ht="15.75" customHeight="1">
      <c r="A22" s="44" t="s">
        <v>27</v>
      </c>
      <c r="B22" s="45"/>
      <c r="C22" s="45"/>
      <c r="D22" s="44"/>
      <c r="E22" s="45"/>
      <c r="F22" s="4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</sheetData>
  <autoFilter ref="$A$3:$C$13">
    <sortState ref="A3:C13">
      <sortCondition ref="B3:B13"/>
    </sortState>
  </autoFilter>
  <mergeCells count="6">
    <mergeCell ref="A1:C2"/>
    <mergeCell ref="D1:F13"/>
    <mergeCell ref="A14:C14"/>
    <mergeCell ref="A15:F16"/>
    <mergeCell ref="A17:C17"/>
    <mergeCell ref="D17:F17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4.88"/>
    <col customWidth="1" min="3" max="3" width="23.63"/>
    <col customWidth="1" min="4" max="4" width="20.88"/>
  </cols>
  <sheetData>
    <row r="1" ht="15.75" customHeight="1">
      <c r="A1" s="8" t="s">
        <v>30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46" t="s">
        <v>31</v>
      </c>
      <c r="B3" s="47" t="s">
        <v>32</v>
      </c>
      <c r="C3" s="47" t="s">
        <v>33</v>
      </c>
      <c r="D3" s="48" t="s">
        <v>34</v>
      </c>
    </row>
    <row r="4" ht="15.75" customHeight="1">
      <c r="A4" s="49"/>
      <c r="B4" s="50"/>
      <c r="C4" s="50"/>
      <c r="D4" s="51"/>
    </row>
    <row r="5" ht="15.75" customHeight="1">
      <c r="A5" s="52"/>
      <c r="B5" s="41"/>
      <c r="C5" s="41"/>
      <c r="D5" s="53"/>
    </row>
    <row r="6" ht="15.75" customHeight="1">
      <c r="A6" s="54" t="s">
        <v>35</v>
      </c>
      <c r="B6" s="55" t="s">
        <v>36</v>
      </c>
      <c r="C6" s="55" t="s">
        <v>37</v>
      </c>
      <c r="D6" s="56" t="s">
        <v>38</v>
      </c>
    </row>
    <row r="7" ht="15.75" customHeight="1">
      <c r="A7" s="57"/>
      <c r="B7" s="58"/>
      <c r="C7" s="58"/>
      <c r="D7" s="59"/>
    </row>
    <row r="8" ht="15.75" customHeight="1">
      <c r="A8" s="60" t="s">
        <v>39</v>
      </c>
      <c r="B8" s="58"/>
      <c r="C8" s="61" t="s">
        <v>40</v>
      </c>
      <c r="D8" s="59">
        <f>SUM(A10,B10,C10)</f>
        <v>0</v>
      </c>
    </row>
    <row r="9" ht="15.75" customHeight="1">
      <c r="A9" s="60" t="s">
        <v>41</v>
      </c>
      <c r="B9" s="61" t="s">
        <v>42</v>
      </c>
      <c r="C9" s="61" t="s">
        <v>43</v>
      </c>
      <c r="D9" s="62"/>
    </row>
    <row r="10" ht="15.75" customHeight="1">
      <c r="A10" s="57"/>
      <c r="B10" s="58"/>
      <c r="C10" s="58"/>
      <c r="D10" s="63"/>
    </row>
    <row r="11" ht="15.75" customHeight="1">
      <c r="A11" s="52"/>
      <c r="B11" s="41"/>
      <c r="C11" s="41"/>
      <c r="D11" s="53"/>
    </row>
    <row r="12" ht="15.75" customHeight="1">
      <c r="A12" s="54" t="s">
        <v>35</v>
      </c>
      <c r="B12" s="55" t="s">
        <v>36</v>
      </c>
      <c r="C12" s="55" t="s">
        <v>37</v>
      </c>
      <c r="D12" s="56" t="s">
        <v>38</v>
      </c>
    </row>
    <row r="13" ht="15.75" customHeight="1">
      <c r="A13" s="57"/>
      <c r="B13" s="58"/>
      <c r="C13" s="58"/>
      <c r="D13" s="59"/>
    </row>
    <row r="14" ht="15.75" customHeight="1">
      <c r="A14" s="60" t="s">
        <v>39</v>
      </c>
      <c r="B14" s="58"/>
      <c r="C14" s="61" t="s">
        <v>40</v>
      </c>
      <c r="D14" s="59">
        <f>SUM(A16,B16,C16)</f>
        <v>0</v>
      </c>
    </row>
    <row r="15" ht="15.75" customHeight="1">
      <c r="A15" s="60" t="s">
        <v>41</v>
      </c>
      <c r="B15" s="61" t="s">
        <v>42</v>
      </c>
      <c r="C15" s="61" t="s">
        <v>43</v>
      </c>
      <c r="D15" s="62"/>
    </row>
    <row r="16" ht="15.75" customHeight="1">
      <c r="A16" s="57"/>
      <c r="B16" s="58"/>
      <c r="C16" s="58"/>
      <c r="D16" s="63"/>
    </row>
    <row r="17" ht="15.75" customHeight="1">
      <c r="A17" s="52"/>
      <c r="B17" s="41"/>
      <c r="C17" s="41"/>
      <c r="D17" s="53"/>
    </row>
    <row r="18" ht="15.75" customHeight="1">
      <c r="A18" s="54" t="s">
        <v>35</v>
      </c>
      <c r="B18" s="55" t="s">
        <v>36</v>
      </c>
      <c r="C18" s="55" t="s">
        <v>37</v>
      </c>
      <c r="D18" s="56" t="s">
        <v>38</v>
      </c>
    </row>
    <row r="19" ht="15.75" customHeight="1">
      <c r="A19" s="57"/>
      <c r="B19" s="58"/>
      <c r="C19" s="58"/>
      <c r="D19" s="59"/>
    </row>
    <row r="20" ht="15.75" customHeight="1">
      <c r="A20" s="60" t="s">
        <v>39</v>
      </c>
      <c r="B20" s="58"/>
      <c r="C20" s="61" t="s">
        <v>40</v>
      </c>
      <c r="D20" s="59">
        <f>SUM(A22,B22,C22)</f>
        <v>0</v>
      </c>
    </row>
    <row r="21" ht="15.75" customHeight="1">
      <c r="A21" s="60" t="s">
        <v>41</v>
      </c>
      <c r="B21" s="61" t="s">
        <v>42</v>
      </c>
      <c r="C21" s="61" t="s">
        <v>43</v>
      </c>
      <c r="D21" s="62"/>
    </row>
    <row r="22" ht="15.75" customHeight="1">
      <c r="A22" s="57"/>
      <c r="B22" s="58"/>
      <c r="C22" s="58"/>
      <c r="D22" s="63"/>
    </row>
    <row r="23" ht="15.75" customHeight="1">
      <c r="A23" s="52"/>
      <c r="B23" s="41"/>
      <c r="C23" s="41"/>
      <c r="D23" s="53"/>
    </row>
    <row r="24" ht="15.75" customHeight="1">
      <c r="A24" s="64" t="s">
        <v>35</v>
      </c>
      <c r="B24" s="65" t="s">
        <v>36</v>
      </c>
      <c r="C24" s="65" t="s">
        <v>37</v>
      </c>
      <c r="D24" s="66" t="s">
        <v>38</v>
      </c>
    </row>
    <row r="25" ht="15.75" customHeight="1">
      <c r="A25" s="67"/>
      <c r="B25" s="68"/>
      <c r="C25" s="68"/>
      <c r="D25" s="69"/>
    </row>
    <row r="26" ht="15.75" customHeight="1">
      <c r="A26" s="70" t="s">
        <v>39</v>
      </c>
      <c r="B26" s="68"/>
      <c r="C26" s="65" t="s">
        <v>40</v>
      </c>
      <c r="D26" s="71">
        <f>SUM(A28,B28,C28)</f>
        <v>0</v>
      </c>
    </row>
    <row r="27" ht="15.75" customHeight="1">
      <c r="A27" s="70" t="s">
        <v>41</v>
      </c>
      <c r="B27" s="65" t="s">
        <v>42</v>
      </c>
      <c r="C27" s="65" t="s">
        <v>43</v>
      </c>
      <c r="D27" s="72"/>
    </row>
    <row r="28" ht="15.75" customHeight="1">
      <c r="A28" s="73"/>
      <c r="B28" s="74"/>
      <c r="C28" s="74"/>
      <c r="D28" s="25"/>
    </row>
    <row r="29" ht="15.75" customHeight="1">
      <c r="A29" s="75"/>
      <c r="B29" s="41"/>
      <c r="C29" s="41"/>
      <c r="D29" s="53"/>
    </row>
    <row r="30" ht="15.75" customHeight="1">
      <c r="A30" s="64" t="s">
        <v>35</v>
      </c>
      <c r="B30" s="65" t="s">
        <v>36</v>
      </c>
      <c r="C30" s="65" t="s">
        <v>37</v>
      </c>
      <c r="D30" s="66" t="s">
        <v>38</v>
      </c>
    </row>
    <row r="31" ht="15.75" customHeight="1">
      <c r="A31" s="67"/>
      <c r="B31" s="68"/>
      <c r="C31" s="68"/>
      <c r="D31" s="69"/>
    </row>
    <row r="32" ht="15.75" customHeight="1">
      <c r="A32" s="70" t="s">
        <v>39</v>
      </c>
      <c r="B32" s="68"/>
      <c r="C32" s="65" t="s">
        <v>40</v>
      </c>
      <c r="D32" s="71">
        <f>SUM(A34,B34,C34)</f>
        <v>0</v>
      </c>
    </row>
    <row r="33" ht="15.75" customHeight="1">
      <c r="A33" s="70" t="s">
        <v>41</v>
      </c>
      <c r="B33" s="65" t="s">
        <v>42</v>
      </c>
      <c r="C33" s="65" t="s">
        <v>43</v>
      </c>
      <c r="D33" s="72"/>
    </row>
    <row r="34" ht="15.75" customHeight="1">
      <c r="A34" s="73"/>
      <c r="B34" s="74"/>
      <c r="C34" s="74"/>
      <c r="D34" s="25"/>
    </row>
    <row r="35" ht="15.75" customHeight="1">
      <c r="A35" s="76"/>
      <c r="B35" s="12"/>
      <c r="C35" s="12"/>
      <c r="D35" s="25"/>
    </row>
    <row r="36" ht="15.75" customHeight="1">
      <c r="A36" s="64" t="s">
        <v>35</v>
      </c>
      <c r="B36" s="65" t="s">
        <v>36</v>
      </c>
      <c r="C36" s="65" t="s">
        <v>37</v>
      </c>
      <c r="D36" s="66" t="s">
        <v>38</v>
      </c>
    </row>
    <row r="37" ht="15.75" customHeight="1">
      <c r="A37" s="67"/>
      <c r="B37" s="68"/>
      <c r="C37" s="68"/>
      <c r="D37" s="69"/>
    </row>
    <row r="38" ht="15.75" customHeight="1">
      <c r="A38" s="70" t="s">
        <v>39</v>
      </c>
      <c r="B38" s="68"/>
      <c r="C38" s="65" t="s">
        <v>40</v>
      </c>
      <c r="D38" s="71">
        <f>SUM(A40,B40,C40)</f>
        <v>0</v>
      </c>
    </row>
    <row r="39" ht="15.75" customHeight="1">
      <c r="A39" s="70" t="s">
        <v>41</v>
      </c>
      <c r="B39" s="65" t="s">
        <v>42</v>
      </c>
      <c r="C39" s="65" t="s">
        <v>43</v>
      </c>
      <c r="D39" s="72"/>
    </row>
    <row r="40" ht="15.75" customHeight="1">
      <c r="A40" s="73"/>
      <c r="B40" s="74"/>
      <c r="C40" s="74"/>
      <c r="D40" s="25"/>
    </row>
    <row r="41" ht="15.75" customHeight="1">
      <c r="A41" s="76"/>
      <c r="B41" s="12"/>
      <c r="C41" s="12"/>
      <c r="D41" s="25"/>
    </row>
    <row r="42" ht="15.75" customHeight="1">
      <c r="A42" s="64" t="s">
        <v>35</v>
      </c>
      <c r="B42" s="65" t="s">
        <v>36</v>
      </c>
      <c r="C42" s="65" t="s">
        <v>37</v>
      </c>
      <c r="D42" s="66" t="s">
        <v>38</v>
      </c>
    </row>
    <row r="43" ht="15.75" customHeight="1">
      <c r="A43" s="67"/>
      <c r="B43" s="68"/>
      <c r="C43" s="68"/>
      <c r="D43" s="69"/>
    </row>
    <row r="44" ht="15.75" customHeight="1">
      <c r="A44" s="70" t="s">
        <v>39</v>
      </c>
      <c r="B44" s="68"/>
      <c r="C44" s="65" t="s">
        <v>40</v>
      </c>
      <c r="D44" s="71">
        <f>SUM(A46,B46,C46)</f>
        <v>0</v>
      </c>
    </row>
    <row r="45" ht="15.75" customHeight="1">
      <c r="A45" s="70" t="s">
        <v>41</v>
      </c>
      <c r="B45" s="65" t="s">
        <v>42</v>
      </c>
      <c r="C45" s="65" t="s">
        <v>43</v>
      </c>
      <c r="D45" s="72"/>
    </row>
    <row r="46" ht="15.75" customHeight="1">
      <c r="A46" s="73"/>
      <c r="B46" s="74"/>
      <c r="C46" s="74"/>
      <c r="D46" s="25"/>
    </row>
    <row r="47" ht="15.75" customHeight="1">
      <c r="A47" s="76"/>
      <c r="B47" s="12"/>
      <c r="C47" s="12"/>
      <c r="D47" s="25"/>
    </row>
    <row r="48" ht="15.75" customHeight="1">
      <c r="A48" s="64" t="s">
        <v>35</v>
      </c>
      <c r="B48" s="65" t="s">
        <v>36</v>
      </c>
      <c r="C48" s="65" t="s">
        <v>37</v>
      </c>
      <c r="D48" s="66" t="s">
        <v>38</v>
      </c>
    </row>
    <row r="49" ht="15.75" customHeight="1">
      <c r="A49" s="67" t="s">
        <v>44</v>
      </c>
      <c r="B49" s="68" t="s">
        <v>45</v>
      </c>
      <c r="C49" s="68" t="s">
        <v>10</v>
      </c>
      <c r="D49" s="69" t="s">
        <v>10</v>
      </c>
    </row>
    <row r="50" ht="15.75" customHeight="1">
      <c r="A50" s="70" t="s">
        <v>39</v>
      </c>
      <c r="B50" s="68" t="s">
        <v>46</v>
      </c>
      <c r="C50" s="65" t="s">
        <v>40</v>
      </c>
      <c r="D50" s="71">
        <f>SUM(A52,B52,C52)</f>
        <v>0</v>
      </c>
    </row>
    <row r="51" ht="15.75" customHeight="1">
      <c r="A51" s="70" t="s">
        <v>41</v>
      </c>
      <c r="B51" s="65" t="s">
        <v>42</v>
      </c>
      <c r="C51" s="65" t="s">
        <v>43</v>
      </c>
      <c r="D51" s="72"/>
    </row>
    <row r="52" ht="15.75" customHeight="1">
      <c r="A52" s="73">
        <v>0.0</v>
      </c>
      <c r="B52" s="74">
        <v>0.0</v>
      </c>
      <c r="C52" s="74"/>
      <c r="D52" s="25"/>
    </row>
    <row r="53" ht="15.75" customHeight="1">
      <c r="A53" s="64" t="s">
        <v>35</v>
      </c>
      <c r="B53" s="65" t="s">
        <v>36</v>
      </c>
      <c r="C53" s="65" t="s">
        <v>37</v>
      </c>
      <c r="D53" s="66" t="s">
        <v>38</v>
      </c>
    </row>
    <row r="54" ht="15.75" customHeight="1">
      <c r="A54" s="67"/>
      <c r="B54" s="68"/>
      <c r="C54" s="68"/>
      <c r="D54" s="69"/>
    </row>
    <row r="55" ht="15.75" customHeight="1">
      <c r="A55" s="70" t="s">
        <v>39</v>
      </c>
      <c r="B55" s="68"/>
      <c r="C55" s="65" t="s">
        <v>40</v>
      </c>
      <c r="D55" s="71">
        <f>SUM(A57,B57,C57)</f>
        <v>0</v>
      </c>
    </row>
    <row r="56" ht="15.75" customHeight="1">
      <c r="A56" s="70" t="s">
        <v>41</v>
      </c>
      <c r="B56" s="65" t="s">
        <v>42</v>
      </c>
      <c r="C56" s="65" t="s">
        <v>43</v>
      </c>
      <c r="D56" s="72"/>
    </row>
    <row r="57" ht="15.75" customHeight="1">
      <c r="A57" s="73"/>
      <c r="B57" s="74"/>
      <c r="C57" s="74"/>
      <c r="D57" s="25"/>
    </row>
    <row r="58" ht="15.75" customHeight="1">
      <c r="A58" s="76"/>
      <c r="B58" s="12"/>
      <c r="C58" s="12"/>
      <c r="D58" s="25"/>
    </row>
    <row r="59" ht="15.75" customHeight="1">
      <c r="A59" s="64" t="s">
        <v>35</v>
      </c>
      <c r="B59" s="65" t="s">
        <v>36</v>
      </c>
      <c r="C59" s="65" t="s">
        <v>37</v>
      </c>
      <c r="D59" s="66" t="s">
        <v>38</v>
      </c>
    </row>
    <row r="60" ht="15.75" customHeight="1">
      <c r="A60" s="67"/>
      <c r="B60" s="68"/>
      <c r="C60" s="68"/>
      <c r="D60" s="69"/>
    </row>
    <row r="61" ht="15.75" customHeight="1">
      <c r="A61" s="70" t="s">
        <v>39</v>
      </c>
      <c r="B61" s="68"/>
      <c r="C61" s="65" t="s">
        <v>40</v>
      </c>
      <c r="D61" s="71">
        <f>SUM(A63,B63,C63)</f>
        <v>0</v>
      </c>
    </row>
    <row r="62" ht="15.75" customHeight="1">
      <c r="A62" s="70" t="s">
        <v>41</v>
      </c>
      <c r="B62" s="65" t="s">
        <v>42</v>
      </c>
      <c r="C62" s="65" t="s">
        <v>43</v>
      </c>
      <c r="D62" s="72"/>
    </row>
    <row r="63" ht="15.75" customHeight="1">
      <c r="A63" s="77"/>
      <c r="B63" s="78"/>
      <c r="C63" s="78"/>
      <c r="D63" s="25"/>
    </row>
    <row r="64" ht="15.75" customHeight="1">
      <c r="A64" s="46" t="s">
        <v>31</v>
      </c>
      <c r="B64" s="47" t="s">
        <v>32</v>
      </c>
      <c r="C64" s="47" t="s">
        <v>33</v>
      </c>
      <c r="D64" s="48" t="s">
        <v>34</v>
      </c>
    </row>
    <row r="65" ht="15.75" customHeight="1">
      <c r="A65" s="49"/>
      <c r="B65" s="50"/>
      <c r="C65" s="50"/>
      <c r="D65" s="51"/>
    </row>
    <row r="66" ht="15.75" customHeight="1">
      <c r="A66" s="52"/>
      <c r="B66" s="41"/>
      <c r="C66" s="41"/>
      <c r="D66" s="53"/>
    </row>
    <row r="67" ht="15.75" customHeight="1">
      <c r="A67" s="54" t="s">
        <v>35</v>
      </c>
      <c r="B67" s="55" t="s">
        <v>36</v>
      </c>
      <c r="C67" s="55" t="s">
        <v>37</v>
      </c>
      <c r="D67" s="56" t="s">
        <v>38</v>
      </c>
    </row>
    <row r="68" ht="15.75" customHeight="1">
      <c r="A68" s="57"/>
      <c r="B68" s="58"/>
      <c r="C68" s="58"/>
      <c r="D68" s="59"/>
    </row>
    <row r="69" ht="15.75" customHeight="1">
      <c r="A69" s="60" t="s">
        <v>39</v>
      </c>
      <c r="B69" s="58"/>
      <c r="C69" s="61" t="s">
        <v>40</v>
      </c>
      <c r="D69" s="79">
        <f>SUM(A71,B71,C71)</f>
        <v>0</v>
      </c>
    </row>
    <row r="70" ht="15.75" customHeight="1">
      <c r="A70" s="60" t="s">
        <v>41</v>
      </c>
      <c r="B70" s="61" t="s">
        <v>42</v>
      </c>
      <c r="C70" s="61" t="s">
        <v>43</v>
      </c>
      <c r="D70" s="62"/>
    </row>
    <row r="71" ht="15.75" customHeight="1">
      <c r="A71" s="57"/>
      <c r="B71" s="58"/>
      <c r="C71" s="58"/>
      <c r="D71" s="63"/>
    </row>
    <row r="72" ht="15.75" customHeight="1">
      <c r="A72" s="52"/>
      <c r="B72" s="41"/>
      <c r="C72" s="41"/>
      <c r="D72" s="53"/>
    </row>
    <row r="73" ht="15.75" customHeight="1">
      <c r="A73" s="54" t="s">
        <v>35</v>
      </c>
      <c r="B73" s="55" t="s">
        <v>36</v>
      </c>
      <c r="C73" s="55" t="s">
        <v>37</v>
      </c>
      <c r="D73" s="56" t="s">
        <v>38</v>
      </c>
    </row>
    <row r="74" ht="15.75" customHeight="1">
      <c r="A74" s="57"/>
      <c r="B74" s="58"/>
      <c r="C74" s="58"/>
      <c r="D74" s="59"/>
    </row>
    <row r="75" ht="15.75" customHeight="1">
      <c r="A75" s="60" t="s">
        <v>39</v>
      </c>
      <c r="B75" s="58"/>
      <c r="C75" s="61" t="s">
        <v>40</v>
      </c>
      <c r="D75" s="59">
        <f>SUM(A77,B77,C77)</f>
        <v>0</v>
      </c>
    </row>
    <row r="76" ht="15.75" customHeight="1">
      <c r="A76" s="60" t="s">
        <v>41</v>
      </c>
      <c r="B76" s="61" t="s">
        <v>42</v>
      </c>
      <c r="C76" s="61" t="s">
        <v>43</v>
      </c>
      <c r="D76" s="62"/>
    </row>
    <row r="77" ht="15.75" customHeight="1">
      <c r="A77" s="57"/>
      <c r="B77" s="58"/>
      <c r="C77" s="58"/>
      <c r="D77" s="63"/>
    </row>
    <row r="78" ht="15.75" customHeight="1">
      <c r="A78" s="52"/>
      <c r="B78" s="41"/>
      <c r="C78" s="41"/>
      <c r="D78" s="53"/>
    </row>
    <row r="79" ht="15.75" customHeight="1">
      <c r="A79" s="54" t="s">
        <v>35</v>
      </c>
      <c r="B79" s="55" t="s">
        <v>36</v>
      </c>
      <c r="C79" s="55" t="s">
        <v>37</v>
      </c>
      <c r="D79" s="56" t="s">
        <v>38</v>
      </c>
    </row>
    <row r="80" ht="15.75" customHeight="1">
      <c r="A80" s="57"/>
      <c r="B80" s="58"/>
      <c r="C80" s="58"/>
      <c r="D80" s="59"/>
    </row>
    <row r="81" ht="15.75" customHeight="1">
      <c r="A81" s="60" t="s">
        <v>39</v>
      </c>
      <c r="B81" s="58"/>
      <c r="C81" s="61" t="s">
        <v>40</v>
      </c>
      <c r="D81" s="59">
        <f>SUM(A83,B83,C83)</f>
        <v>0</v>
      </c>
    </row>
    <row r="82" ht="15.75" customHeight="1">
      <c r="A82" s="60" t="s">
        <v>41</v>
      </c>
      <c r="B82" s="61" t="s">
        <v>42</v>
      </c>
      <c r="C82" s="61" t="s">
        <v>43</v>
      </c>
      <c r="D82" s="62"/>
    </row>
    <row r="83" ht="15.75" customHeight="1">
      <c r="A83" s="57"/>
      <c r="B83" s="58"/>
      <c r="C83" s="58"/>
      <c r="D83" s="63"/>
    </row>
    <row r="84" ht="15.75" customHeight="1">
      <c r="A84" s="52"/>
      <c r="B84" s="41"/>
      <c r="C84" s="41"/>
      <c r="D84" s="53"/>
    </row>
    <row r="85" ht="15.75" customHeight="1">
      <c r="A85" s="64" t="s">
        <v>35</v>
      </c>
      <c r="B85" s="65" t="s">
        <v>36</v>
      </c>
      <c r="C85" s="65" t="s">
        <v>37</v>
      </c>
      <c r="D85" s="66" t="s">
        <v>38</v>
      </c>
    </row>
    <row r="86" ht="15.75" customHeight="1">
      <c r="A86" s="67"/>
      <c r="B86" s="68"/>
      <c r="C86" s="68"/>
      <c r="D86" s="69"/>
    </row>
    <row r="87" ht="15.75" customHeight="1">
      <c r="A87" s="70" t="s">
        <v>39</v>
      </c>
      <c r="B87" s="68"/>
      <c r="C87" s="65" t="s">
        <v>40</v>
      </c>
      <c r="D87" s="71">
        <f>SUM(A89,B89,C89)</f>
        <v>0</v>
      </c>
    </row>
    <row r="88" ht="15.75" customHeight="1">
      <c r="A88" s="70" t="s">
        <v>41</v>
      </c>
      <c r="B88" s="65" t="s">
        <v>42</v>
      </c>
      <c r="C88" s="65" t="s">
        <v>43</v>
      </c>
      <c r="D88" s="72"/>
    </row>
    <row r="89" ht="15.75" customHeight="1">
      <c r="A89" s="77"/>
      <c r="B89" s="78"/>
      <c r="C89" s="78"/>
      <c r="D89" s="25"/>
    </row>
    <row r="90" ht="15.75" customHeight="1">
      <c r="A90" s="46" t="s">
        <v>31</v>
      </c>
      <c r="B90" s="47" t="s">
        <v>32</v>
      </c>
      <c r="C90" s="47" t="s">
        <v>33</v>
      </c>
      <c r="D90" s="48" t="s">
        <v>34</v>
      </c>
    </row>
    <row r="91" ht="15.75" customHeight="1">
      <c r="A91" s="49"/>
      <c r="B91" s="50"/>
      <c r="C91" s="50"/>
      <c r="D91" s="51"/>
    </row>
    <row r="92" ht="15.75" customHeight="1">
      <c r="A92" s="52"/>
      <c r="B92" s="41"/>
      <c r="C92" s="41"/>
      <c r="D92" s="53"/>
    </row>
    <row r="93" ht="15.75" customHeight="1">
      <c r="A93" s="54" t="s">
        <v>35</v>
      </c>
      <c r="B93" s="55" t="s">
        <v>36</v>
      </c>
      <c r="C93" s="55" t="s">
        <v>37</v>
      </c>
      <c r="D93" s="56" t="s">
        <v>38</v>
      </c>
    </row>
    <row r="94" ht="15.75" customHeight="1">
      <c r="A94" s="57"/>
      <c r="B94" s="58"/>
      <c r="C94" s="58"/>
      <c r="D94" s="59"/>
    </row>
    <row r="95" ht="15.75" customHeight="1">
      <c r="A95" s="60" t="s">
        <v>39</v>
      </c>
      <c r="B95" s="58"/>
      <c r="C95" s="61" t="s">
        <v>40</v>
      </c>
      <c r="D95" s="79">
        <f>SUM(A97,B97,C97)</f>
        <v>0</v>
      </c>
    </row>
    <row r="96" ht="15.75" customHeight="1">
      <c r="A96" s="60" t="s">
        <v>41</v>
      </c>
      <c r="B96" s="61" t="s">
        <v>42</v>
      </c>
      <c r="C96" s="61" t="s">
        <v>43</v>
      </c>
      <c r="D96" s="62"/>
    </row>
    <row r="97" ht="15.75" customHeight="1">
      <c r="A97" s="57"/>
      <c r="B97" s="58"/>
      <c r="C97" s="58"/>
      <c r="D97" s="63"/>
    </row>
    <row r="98" ht="15.75" customHeight="1">
      <c r="A98" s="52"/>
      <c r="B98" s="41"/>
      <c r="C98" s="41"/>
      <c r="D98" s="53"/>
    </row>
    <row r="99" ht="15.75" customHeight="1">
      <c r="A99" s="54" t="s">
        <v>35</v>
      </c>
      <c r="B99" s="55" t="s">
        <v>36</v>
      </c>
      <c r="C99" s="55" t="s">
        <v>37</v>
      </c>
      <c r="D99" s="56" t="s">
        <v>38</v>
      </c>
    </row>
    <row r="100" ht="15.75" customHeight="1">
      <c r="A100" s="57"/>
      <c r="B100" s="58"/>
      <c r="C100" s="58"/>
      <c r="D100" s="59"/>
    </row>
    <row r="101" ht="15.75" customHeight="1">
      <c r="A101" s="60" t="s">
        <v>39</v>
      </c>
      <c r="B101" s="58"/>
      <c r="C101" s="61" t="s">
        <v>40</v>
      </c>
      <c r="D101" s="59">
        <f>SUM(A103,B103,C103)</f>
        <v>0</v>
      </c>
    </row>
    <row r="102" ht="15.75" customHeight="1">
      <c r="A102" s="60" t="s">
        <v>41</v>
      </c>
      <c r="B102" s="61" t="s">
        <v>42</v>
      </c>
      <c r="C102" s="61" t="s">
        <v>43</v>
      </c>
      <c r="D102" s="62"/>
    </row>
    <row r="103" ht="15.75" customHeight="1">
      <c r="A103" s="57"/>
      <c r="B103" s="58"/>
      <c r="C103" s="58"/>
      <c r="D103" s="63"/>
    </row>
    <row r="104" ht="15.75" customHeight="1">
      <c r="A104" s="52"/>
      <c r="B104" s="41"/>
      <c r="C104" s="41"/>
      <c r="D104" s="53"/>
    </row>
    <row r="105" ht="15.75" customHeight="1">
      <c r="A105" s="54" t="s">
        <v>35</v>
      </c>
      <c r="B105" s="55" t="s">
        <v>36</v>
      </c>
      <c r="C105" s="55" t="s">
        <v>37</v>
      </c>
      <c r="D105" s="56" t="s">
        <v>38</v>
      </c>
    </row>
    <row r="106" ht="15.75" customHeight="1">
      <c r="A106" s="57"/>
      <c r="B106" s="58"/>
      <c r="C106" s="58"/>
      <c r="D106" s="59"/>
    </row>
    <row r="107" ht="15.75" customHeight="1">
      <c r="A107" s="60" t="s">
        <v>39</v>
      </c>
      <c r="B107" s="58"/>
      <c r="C107" s="61" t="s">
        <v>40</v>
      </c>
      <c r="D107" s="59">
        <f>SUM(A109,B109,C109)</f>
        <v>0</v>
      </c>
    </row>
    <row r="108" ht="15.75" customHeight="1">
      <c r="A108" s="60" t="s">
        <v>41</v>
      </c>
      <c r="B108" s="61" t="s">
        <v>42</v>
      </c>
      <c r="C108" s="61" t="s">
        <v>43</v>
      </c>
      <c r="D108" s="62"/>
    </row>
    <row r="109" ht="15.75" customHeight="1">
      <c r="A109" s="57"/>
      <c r="B109" s="58"/>
      <c r="C109" s="58"/>
      <c r="D109" s="63"/>
    </row>
    <row r="110" ht="15.75" customHeight="1">
      <c r="A110" s="52"/>
      <c r="B110" s="41"/>
      <c r="C110" s="41"/>
      <c r="D110" s="53"/>
    </row>
    <row r="111" ht="15.75" customHeight="1">
      <c r="A111" s="64" t="s">
        <v>35</v>
      </c>
      <c r="B111" s="65" t="s">
        <v>36</v>
      </c>
      <c r="C111" s="65" t="s">
        <v>37</v>
      </c>
      <c r="D111" s="66" t="s">
        <v>38</v>
      </c>
    </row>
    <row r="112" ht="15.75" customHeight="1">
      <c r="A112" s="67"/>
      <c r="B112" s="68"/>
      <c r="C112" s="68"/>
      <c r="D112" s="69"/>
    </row>
    <row r="113" ht="15.75" customHeight="1">
      <c r="A113" s="70" t="s">
        <v>39</v>
      </c>
      <c r="B113" s="68"/>
      <c r="C113" s="65" t="s">
        <v>40</v>
      </c>
      <c r="D113" s="71">
        <f>SUM(A115,B115,C115)</f>
        <v>0</v>
      </c>
    </row>
    <row r="114" ht="15.75" customHeight="1">
      <c r="A114" s="70" t="s">
        <v>41</v>
      </c>
      <c r="B114" s="65" t="s">
        <v>42</v>
      </c>
      <c r="C114" s="65" t="s">
        <v>43</v>
      </c>
      <c r="D114" s="72"/>
    </row>
    <row r="115" ht="15.75" customHeight="1">
      <c r="A115" s="77"/>
      <c r="B115" s="78"/>
      <c r="C115" s="78"/>
      <c r="D115" s="25"/>
    </row>
    <row r="116" ht="15.75" customHeight="1">
      <c r="A116" s="46" t="s">
        <v>31</v>
      </c>
      <c r="B116" s="47" t="s">
        <v>32</v>
      </c>
      <c r="C116" s="47" t="s">
        <v>33</v>
      </c>
      <c r="D116" s="48" t="s">
        <v>34</v>
      </c>
    </row>
    <row r="117" ht="15.75" customHeight="1">
      <c r="A117" s="49"/>
      <c r="B117" s="50"/>
      <c r="C117" s="50"/>
      <c r="D117" s="51"/>
    </row>
    <row r="118" ht="15.75" customHeight="1">
      <c r="A118" s="52"/>
      <c r="B118" s="41"/>
      <c r="C118" s="41"/>
      <c r="D118" s="53"/>
    </row>
    <row r="119" ht="15.75" customHeight="1">
      <c r="A119" s="54" t="s">
        <v>35</v>
      </c>
      <c r="B119" s="55" t="s">
        <v>36</v>
      </c>
      <c r="C119" s="55" t="s">
        <v>37</v>
      </c>
      <c r="D119" s="56" t="s">
        <v>38</v>
      </c>
    </row>
    <row r="120" ht="15.75" customHeight="1">
      <c r="A120" s="57"/>
      <c r="B120" s="58"/>
      <c r="C120" s="58"/>
      <c r="D120" s="59"/>
    </row>
    <row r="121" ht="15.75" customHeight="1">
      <c r="A121" s="60" t="s">
        <v>39</v>
      </c>
      <c r="B121" s="58"/>
      <c r="C121" s="61" t="s">
        <v>40</v>
      </c>
      <c r="D121" s="79">
        <f>SUM(A123,B123,C123)</f>
        <v>0</v>
      </c>
    </row>
    <row r="122" ht="15.75" customHeight="1">
      <c r="A122" s="60" t="s">
        <v>41</v>
      </c>
      <c r="B122" s="61" t="s">
        <v>42</v>
      </c>
      <c r="C122" s="61" t="s">
        <v>43</v>
      </c>
      <c r="D122" s="62"/>
    </row>
    <row r="123" ht="15.75" customHeight="1">
      <c r="A123" s="57"/>
      <c r="B123" s="58"/>
      <c r="C123" s="58"/>
      <c r="D123" s="63"/>
    </row>
    <row r="124" ht="15.75" customHeight="1">
      <c r="A124" s="52"/>
      <c r="B124" s="41"/>
      <c r="C124" s="41"/>
      <c r="D124" s="53"/>
    </row>
    <row r="125" ht="15.75" customHeight="1">
      <c r="A125" s="54" t="s">
        <v>35</v>
      </c>
      <c r="B125" s="55" t="s">
        <v>36</v>
      </c>
      <c r="C125" s="55" t="s">
        <v>37</v>
      </c>
      <c r="D125" s="56" t="s">
        <v>38</v>
      </c>
    </row>
    <row r="126" ht="15.75" customHeight="1">
      <c r="A126" s="57"/>
      <c r="B126" s="58"/>
      <c r="C126" s="58"/>
      <c r="D126" s="59"/>
    </row>
    <row r="127" ht="15.75" customHeight="1">
      <c r="A127" s="60" t="s">
        <v>39</v>
      </c>
      <c r="B127" s="58"/>
      <c r="C127" s="61" t="s">
        <v>40</v>
      </c>
      <c r="D127" s="59">
        <f>SUM(A129,B129,C129)</f>
        <v>0</v>
      </c>
    </row>
    <row r="128" ht="15.75" customHeight="1">
      <c r="A128" s="60" t="s">
        <v>41</v>
      </c>
      <c r="B128" s="61" t="s">
        <v>42</v>
      </c>
      <c r="C128" s="61" t="s">
        <v>43</v>
      </c>
      <c r="D128" s="62"/>
    </row>
    <row r="129" ht="15.75" customHeight="1">
      <c r="A129" s="57"/>
      <c r="B129" s="58"/>
      <c r="C129" s="58"/>
      <c r="D129" s="63"/>
    </row>
    <row r="130" ht="15.75" customHeight="1">
      <c r="A130" s="52"/>
      <c r="B130" s="41"/>
      <c r="C130" s="41"/>
      <c r="D130" s="53"/>
    </row>
    <row r="131" ht="15.75" customHeight="1">
      <c r="A131" s="54" t="s">
        <v>35</v>
      </c>
      <c r="B131" s="55" t="s">
        <v>36</v>
      </c>
      <c r="C131" s="55" t="s">
        <v>37</v>
      </c>
      <c r="D131" s="56" t="s">
        <v>38</v>
      </c>
    </row>
    <row r="132" ht="15.75" customHeight="1">
      <c r="A132" s="57"/>
      <c r="B132" s="58"/>
      <c r="C132" s="58"/>
      <c r="D132" s="59"/>
    </row>
    <row r="133" ht="15.75" customHeight="1">
      <c r="A133" s="60" t="s">
        <v>39</v>
      </c>
      <c r="B133" s="58"/>
      <c r="C133" s="61" t="s">
        <v>40</v>
      </c>
      <c r="D133" s="59">
        <f>SUM(A135,B135,C135)</f>
        <v>0</v>
      </c>
    </row>
    <row r="134" ht="15.75" customHeight="1">
      <c r="A134" s="60" t="s">
        <v>41</v>
      </c>
      <c r="B134" s="61" t="s">
        <v>42</v>
      </c>
      <c r="C134" s="61" t="s">
        <v>43</v>
      </c>
      <c r="D134" s="62"/>
    </row>
    <row r="135" ht="15.75" customHeight="1">
      <c r="A135" s="57"/>
      <c r="B135" s="58"/>
      <c r="C135" s="58"/>
      <c r="D135" s="63"/>
    </row>
    <row r="136" ht="15.75" customHeight="1">
      <c r="A136" s="52"/>
      <c r="B136" s="41"/>
      <c r="C136" s="41"/>
      <c r="D136" s="53"/>
    </row>
    <row r="137" ht="15.75" customHeight="1">
      <c r="A137" s="64" t="s">
        <v>35</v>
      </c>
      <c r="B137" s="65" t="s">
        <v>36</v>
      </c>
      <c r="C137" s="65" t="s">
        <v>37</v>
      </c>
      <c r="D137" s="66" t="s">
        <v>38</v>
      </c>
    </row>
    <row r="138" ht="15.75" customHeight="1">
      <c r="A138" s="67"/>
      <c r="B138" s="68"/>
      <c r="C138" s="68"/>
      <c r="D138" s="69"/>
    </row>
    <row r="139" ht="15.75" customHeight="1">
      <c r="A139" s="70" t="s">
        <v>39</v>
      </c>
      <c r="B139" s="68"/>
      <c r="C139" s="65" t="s">
        <v>40</v>
      </c>
      <c r="D139" s="71">
        <f>SUM(A141,B141,C141)</f>
        <v>0</v>
      </c>
    </row>
    <row r="140" ht="15.75" customHeight="1">
      <c r="A140" s="70" t="s">
        <v>41</v>
      </c>
      <c r="B140" s="65" t="s">
        <v>42</v>
      </c>
      <c r="C140" s="65" t="s">
        <v>43</v>
      </c>
      <c r="D140" s="72"/>
    </row>
    <row r="141" ht="15.75" customHeight="1">
      <c r="A141" s="77"/>
      <c r="B141" s="78"/>
      <c r="C141" s="78"/>
      <c r="D141" s="25"/>
    </row>
    <row r="142" ht="15.75" customHeight="1">
      <c r="A142" s="46" t="s">
        <v>31</v>
      </c>
      <c r="B142" s="47" t="s">
        <v>32</v>
      </c>
      <c r="C142" s="47" t="s">
        <v>33</v>
      </c>
      <c r="D142" s="48" t="s">
        <v>34</v>
      </c>
    </row>
    <row r="143" ht="15.75" customHeight="1">
      <c r="A143" s="49"/>
      <c r="B143" s="50"/>
      <c r="C143" s="50"/>
      <c r="D143" s="51"/>
    </row>
    <row r="144" ht="15.75" customHeight="1">
      <c r="A144" s="52"/>
      <c r="B144" s="41"/>
      <c r="C144" s="41"/>
      <c r="D144" s="53"/>
    </row>
    <row r="145" ht="15.75" customHeight="1">
      <c r="A145" s="54" t="s">
        <v>35</v>
      </c>
      <c r="B145" s="55" t="s">
        <v>36</v>
      </c>
      <c r="C145" s="55" t="s">
        <v>37</v>
      </c>
      <c r="D145" s="56" t="s">
        <v>38</v>
      </c>
    </row>
    <row r="146" ht="15.75" customHeight="1">
      <c r="A146" s="57"/>
      <c r="B146" s="58"/>
      <c r="C146" s="58"/>
      <c r="D146" s="59"/>
    </row>
    <row r="147" ht="15.75" customHeight="1">
      <c r="A147" s="60" t="s">
        <v>39</v>
      </c>
      <c r="B147" s="58"/>
      <c r="C147" s="61" t="s">
        <v>40</v>
      </c>
      <c r="D147" s="79">
        <f>SUM(A149,B149,C149)</f>
        <v>0</v>
      </c>
    </row>
    <row r="148" ht="15.75" customHeight="1">
      <c r="A148" s="60" t="s">
        <v>41</v>
      </c>
      <c r="B148" s="61" t="s">
        <v>42</v>
      </c>
      <c r="C148" s="61" t="s">
        <v>43</v>
      </c>
      <c r="D148" s="62"/>
    </row>
    <row r="149" ht="15.75" customHeight="1">
      <c r="A149" s="57"/>
      <c r="B149" s="58"/>
      <c r="C149" s="58"/>
      <c r="D149" s="63"/>
    </row>
    <row r="150" ht="15.75" customHeight="1">
      <c r="A150" s="52"/>
      <c r="B150" s="41"/>
      <c r="C150" s="41"/>
      <c r="D150" s="53"/>
    </row>
    <row r="151" ht="15.75" customHeight="1">
      <c r="A151" s="54" t="s">
        <v>35</v>
      </c>
      <c r="B151" s="55" t="s">
        <v>36</v>
      </c>
      <c r="C151" s="55" t="s">
        <v>37</v>
      </c>
      <c r="D151" s="56" t="s">
        <v>38</v>
      </c>
    </row>
    <row r="152" ht="15.75" customHeight="1">
      <c r="A152" s="57"/>
      <c r="B152" s="58"/>
      <c r="C152" s="58"/>
      <c r="D152" s="59"/>
    </row>
    <row r="153" ht="15.75" customHeight="1">
      <c r="A153" s="60" t="s">
        <v>39</v>
      </c>
      <c r="B153" s="58"/>
      <c r="C153" s="61" t="s">
        <v>40</v>
      </c>
      <c r="D153" s="59">
        <f>SUM(A155,B155,C155)</f>
        <v>0</v>
      </c>
    </row>
    <row r="154" ht="15.75" customHeight="1">
      <c r="A154" s="60" t="s">
        <v>41</v>
      </c>
      <c r="B154" s="61" t="s">
        <v>42</v>
      </c>
      <c r="C154" s="61" t="s">
        <v>43</v>
      </c>
      <c r="D154" s="62"/>
    </row>
    <row r="155" ht="15.75" customHeight="1">
      <c r="A155" s="57"/>
      <c r="B155" s="58"/>
      <c r="C155" s="58"/>
      <c r="D155" s="63"/>
    </row>
    <row r="156" ht="15.75" customHeight="1">
      <c r="A156" s="52"/>
      <c r="B156" s="41"/>
      <c r="C156" s="41"/>
      <c r="D156" s="53"/>
    </row>
    <row r="157" ht="15.75" customHeight="1">
      <c r="A157" s="54" t="s">
        <v>35</v>
      </c>
      <c r="B157" s="55" t="s">
        <v>36</v>
      </c>
      <c r="C157" s="55" t="s">
        <v>37</v>
      </c>
      <c r="D157" s="56" t="s">
        <v>38</v>
      </c>
    </row>
    <row r="158" ht="15.75" customHeight="1">
      <c r="A158" s="57"/>
      <c r="B158" s="58"/>
      <c r="C158" s="58"/>
      <c r="D158" s="59"/>
    </row>
    <row r="159" ht="15.75" customHeight="1">
      <c r="A159" s="60" t="s">
        <v>39</v>
      </c>
      <c r="B159" s="58"/>
      <c r="C159" s="61" t="s">
        <v>40</v>
      </c>
      <c r="D159" s="59">
        <f>SUM(A161,B161,C161)</f>
        <v>0</v>
      </c>
    </row>
    <row r="160" ht="15.75" customHeight="1">
      <c r="A160" s="60" t="s">
        <v>41</v>
      </c>
      <c r="B160" s="61" t="s">
        <v>42</v>
      </c>
      <c r="C160" s="61" t="s">
        <v>43</v>
      </c>
      <c r="D160" s="62"/>
    </row>
    <row r="161" ht="15.75" customHeight="1">
      <c r="A161" s="57"/>
      <c r="B161" s="58"/>
      <c r="C161" s="58"/>
      <c r="D161" s="63"/>
    </row>
    <row r="162" ht="15.75" customHeight="1">
      <c r="A162" s="52"/>
      <c r="B162" s="41"/>
      <c r="C162" s="41"/>
      <c r="D162" s="53"/>
    </row>
    <row r="163" ht="15.75" customHeight="1">
      <c r="A163" s="64" t="s">
        <v>35</v>
      </c>
      <c r="B163" s="65" t="s">
        <v>36</v>
      </c>
      <c r="C163" s="65" t="s">
        <v>37</v>
      </c>
      <c r="D163" s="66" t="s">
        <v>38</v>
      </c>
    </row>
    <row r="164" ht="15.75" customHeight="1">
      <c r="A164" s="67"/>
      <c r="B164" s="68"/>
      <c r="C164" s="68"/>
      <c r="D164" s="69"/>
    </row>
    <row r="165" ht="15.75" customHeight="1">
      <c r="A165" s="70" t="s">
        <v>39</v>
      </c>
      <c r="B165" s="68"/>
      <c r="C165" s="65" t="s">
        <v>40</v>
      </c>
      <c r="D165" s="71">
        <f>SUM(A167,B167,C167)</f>
        <v>0</v>
      </c>
    </row>
    <row r="166" ht="15.75" customHeight="1">
      <c r="A166" s="70" t="s">
        <v>41</v>
      </c>
      <c r="B166" s="65" t="s">
        <v>42</v>
      </c>
      <c r="C166" s="65" t="s">
        <v>43</v>
      </c>
      <c r="D166" s="72"/>
    </row>
    <row r="167" ht="15.75" customHeight="1">
      <c r="A167" s="77"/>
      <c r="B167" s="78"/>
      <c r="C167" s="78"/>
      <c r="D167" s="2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</sheetData>
  <mergeCells count="52">
    <mergeCell ref="A1:D2"/>
    <mergeCell ref="A5:D5"/>
    <mergeCell ref="D9:D10"/>
    <mergeCell ref="A11:D11"/>
    <mergeCell ref="D15:D16"/>
    <mergeCell ref="A17:D17"/>
    <mergeCell ref="A23:D23"/>
    <mergeCell ref="D21:D22"/>
    <mergeCell ref="D27:D28"/>
    <mergeCell ref="D33:D34"/>
    <mergeCell ref="D39:D40"/>
    <mergeCell ref="D45:D46"/>
    <mergeCell ref="D51:D52"/>
    <mergeCell ref="D56:D57"/>
    <mergeCell ref="A29:D29"/>
    <mergeCell ref="A35:D35"/>
    <mergeCell ref="A41:D41"/>
    <mergeCell ref="A47:D47"/>
    <mergeCell ref="A58:D58"/>
    <mergeCell ref="A66:D66"/>
    <mergeCell ref="A72:D72"/>
    <mergeCell ref="D62:D63"/>
    <mergeCell ref="D70:D71"/>
    <mergeCell ref="D76:D77"/>
    <mergeCell ref="D82:D83"/>
    <mergeCell ref="D88:D89"/>
    <mergeCell ref="D96:D97"/>
    <mergeCell ref="D102:D103"/>
    <mergeCell ref="A124:D124"/>
    <mergeCell ref="A130:D130"/>
    <mergeCell ref="A136:D136"/>
    <mergeCell ref="A144:D144"/>
    <mergeCell ref="A150:D150"/>
    <mergeCell ref="A156:D156"/>
    <mergeCell ref="A162:D162"/>
    <mergeCell ref="A78:D78"/>
    <mergeCell ref="A84:D84"/>
    <mergeCell ref="A92:D92"/>
    <mergeCell ref="A98:D98"/>
    <mergeCell ref="A104:D104"/>
    <mergeCell ref="A110:D110"/>
    <mergeCell ref="A118:D118"/>
    <mergeCell ref="D154:D155"/>
    <mergeCell ref="D160:D161"/>
    <mergeCell ref="D166:D167"/>
    <mergeCell ref="D108:D109"/>
    <mergeCell ref="D114:D115"/>
    <mergeCell ref="D122:D123"/>
    <mergeCell ref="D128:D129"/>
    <mergeCell ref="D134:D135"/>
    <mergeCell ref="D140:D141"/>
    <mergeCell ref="D148:D149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8.88"/>
    <col customWidth="1" min="3" max="6" width="20.88"/>
  </cols>
  <sheetData>
    <row r="1" ht="15.75" customHeight="1">
      <c r="A1" s="8" t="s">
        <v>47</v>
      </c>
      <c r="B1" s="9"/>
      <c r="C1" s="10"/>
      <c r="D1" s="7"/>
    </row>
    <row r="2" ht="15.75" customHeight="1">
      <c r="A2" s="11"/>
      <c r="B2" s="12"/>
      <c r="C2" s="13"/>
    </row>
    <row r="3" ht="15.75" customHeight="1">
      <c r="A3" s="37" t="s">
        <v>48</v>
      </c>
      <c r="B3" s="37" t="s">
        <v>49</v>
      </c>
      <c r="C3" s="37" t="s">
        <v>50</v>
      </c>
    </row>
    <row r="4" ht="15.75" customHeight="1">
      <c r="A4" s="38" t="s">
        <v>51</v>
      </c>
      <c r="B4" s="39" t="s">
        <v>52</v>
      </c>
      <c r="C4" s="80"/>
    </row>
    <row r="5" ht="15.75" customHeight="1">
      <c r="A5" s="38" t="s">
        <v>51</v>
      </c>
      <c r="B5" s="39" t="s">
        <v>53</v>
      </c>
      <c r="C5" s="80"/>
    </row>
    <row r="6" ht="15.75" customHeight="1">
      <c r="A6" s="38"/>
      <c r="B6" s="39"/>
      <c r="C6" s="8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</sheetData>
  <autoFilter ref="$A$3:$C$6">
    <sortState ref="A3:C6">
      <sortCondition ref="B3:B6"/>
    </sortState>
  </autoFilter>
  <mergeCells count="3">
    <mergeCell ref="A1:C2"/>
    <mergeCell ref="D1:F6"/>
    <mergeCell ref="A7:C7"/>
  </mergeCells>
  <dataValidations>
    <dataValidation type="list" allowBlank="1" showErrorMessage="1" sqref="A4:A6">
      <formula1>"Proponente,Proposta"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0"/>
  <cols>
    <col customWidth="1" min="1" max="1" width="58.63"/>
    <col customWidth="1" min="3" max="3" width="19.38"/>
    <col customWidth="1" min="8" max="8" width="25.38"/>
    <col customWidth="1" min="9" max="9" width="27.25"/>
  </cols>
  <sheetData>
    <row r="1">
      <c r="A1" s="81"/>
    </row>
    <row r="2">
      <c r="A2" s="82"/>
    </row>
    <row r="3">
      <c r="A3" s="83"/>
    </row>
    <row r="4">
      <c r="A4" s="84"/>
    </row>
    <row r="5">
      <c r="A5" s="84"/>
    </row>
    <row r="6">
      <c r="A6" s="85"/>
    </row>
    <row r="7">
      <c r="A7" s="86"/>
      <c r="B7" s="87"/>
      <c r="C7" s="87"/>
      <c r="D7" s="87"/>
      <c r="E7" s="87"/>
      <c r="F7" s="88"/>
      <c r="G7" s="88"/>
      <c r="H7" s="89"/>
    </row>
    <row r="8">
      <c r="A8" s="90"/>
      <c r="B8" s="87"/>
      <c r="C8" s="87"/>
      <c r="D8" s="87"/>
      <c r="E8" s="87"/>
      <c r="F8" s="88"/>
      <c r="G8" s="88"/>
      <c r="H8" s="89"/>
      <c r="I8" s="91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</row>
    <row r="9">
      <c r="A9" s="93"/>
      <c r="B9" s="93"/>
      <c r="C9" s="94"/>
      <c r="D9" s="94"/>
      <c r="E9" s="94"/>
      <c r="F9" s="95"/>
      <c r="G9" s="95"/>
      <c r="H9" s="94"/>
      <c r="I9" s="91"/>
    </row>
    <row r="10">
      <c r="A10" s="96"/>
      <c r="B10" s="82"/>
      <c r="C10" s="82"/>
      <c r="D10" s="82"/>
      <c r="E10" s="82"/>
      <c r="F10" s="97"/>
      <c r="G10" s="98"/>
      <c r="H10" s="96"/>
    </row>
    <row r="11">
      <c r="A11" s="96"/>
      <c r="B11" s="82"/>
      <c r="C11" s="82"/>
      <c r="D11" s="82"/>
      <c r="E11" s="82"/>
      <c r="F11" s="99"/>
      <c r="G11" s="98"/>
      <c r="H11" s="96"/>
      <c r="I11" s="91"/>
    </row>
    <row r="12">
      <c r="A12" s="96"/>
      <c r="B12" s="82"/>
      <c r="C12" s="82"/>
      <c r="D12" s="82"/>
      <c r="E12" s="82"/>
      <c r="F12" s="99"/>
      <c r="G12" s="98"/>
      <c r="H12" s="96"/>
      <c r="I12" s="91"/>
    </row>
    <row r="13">
      <c r="A13" s="96"/>
      <c r="B13" s="82"/>
      <c r="C13" s="82"/>
      <c r="D13" s="82"/>
      <c r="E13" s="82"/>
      <c r="F13" s="99"/>
      <c r="G13" s="98"/>
      <c r="H13" s="96"/>
      <c r="I13" s="91"/>
    </row>
    <row r="14">
      <c r="A14" s="93"/>
      <c r="H14" s="100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>
      <c r="A15" s="101"/>
      <c r="B15" s="101"/>
      <c r="C15" s="101"/>
      <c r="D15" s="101"/>
      <c r="E15" s="101"/>
      <c r="F15" s="102"/>
      <c r="G15" s="102"/>
      <c r="H15" s="103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</row>
    <row r="16">
      <c r="A16" s="86"/>
      <c r="B16" s="87"/>
      <c r="C16" s="87"/>
      <c r="D16" s="87"/>
      <c r="E16" s="87"/>
      <c r="F16" s="88"/>
      <c r="G16" s="88"/>
      <c r="H16" s="89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</row>
    <row r="17">
      <c r="A17" s="90"/>
      <c r="B17" s="87"/>
      <c r="C17" s="87"/>
      <c r="D17" s="87"/>
      <c r="E17" s="87"/>
      <c r="F17" s="88"/>
      <c r="G17" s="88"/>
      <c r="H17" s="89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>
      <c r="A18" s="93"/>
      <c r="B18" s="93"/>
      <c r="C18" s="94"/>
      <c r="D18" s="94"/>
      <c r="E18" s="94"/>
      <c r="F18" s="95"/>
      <c r="G18" s="95"/>
      <c r="H18" s="104"/>
    </row>
    <row r="19">
      <c r="A19" s="96"/>
      <c r="B19" s="82"/>
      <c r="C19" s="82"/>
      <c r="D19" s="82"/>
      <c r="E19" s="82"/>
      <c r="F19" s="97"/>
      <c r="G19" s="98"/>
      <c r="H19" s="105"/>
    </row>
    <row r="20">
      <c r="A20" s="96"/>
      <c r="B20" s="82"/>
      <c r="C20" s="82"/>
      <c r="D20" s="82"/>
      <c r="E20" s="82"/>
      <c r="F20" s="97"/>
      <c r="G20" s="98"/>
      <c r="H20" s="96"/>
    </row>
    <row r="21">
      <c r="A21" s="106"/>
      <c r="B21" s="107"/>
      <c r="C21" s="107"/>
      <c r="D21" s="107"/>
      <c r="E21" s="107"/>
      <c r="F21" s="108"/>
      <c r="G21" s="109"/>
      <c r="H21" s="106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</row>
    <row r="22">
      <c r="A22" s="96"/>
      <c r="B22" s="82"/>
      <c r="C22" s="82"/>
      <c r="D22" s="82"/>
      <c r="E22" s="82"/>
      <c r="F22" s="97"/>
      <c r="G22" s="98"/>
      <c r="H22" s="96"/>
    </row>
    <row r="23">
      <c r="A23" s="96"/>
      <c r="B23" s="82"/>
      <c r="C23" s="82"/>
      <c r="D23" s="82"/>
      <c r="E23" s="82"/>
      <c r="F23" s="97"/>
      <c r="G23" s="98"/>
      <c r="H23" s="96"/>
    </row>
    <row r="24">
      <c r="A24" s="96"/>
      <c r="B24" s="82"/>
      <c r="C24" s="82"/>
      <c r="D24" s="82"/>
      <c r="E24" s="82"/>
      <c r="F24" s="97"/>
      <c r="G24" s="98"/>
      <c r="H24" s="96"/>
    </row>
    <row r="25">
      <c r="A25" s="96"/>
      <c r="B25" s="82"/>
      <c r="C25" s="82"/>
      <c r="D25" s="82"/>
      <c r="E25" s="82"/>
      <c r="F25" s="97"/>
      <c r="G25" s="98"/>
      <c r="H25" s="96"/>
    </row>
    <row r="26">
      <c r="A26" s="96"/>
      <c r="B26" s="82"/>
      <c r="C26" s="82"/>
      <c r="D26" s="82"/>
      <c r="E26" s="82"/>
      <c r="F26" s="97"/>
      <c r="G26" s="98"/>
      <c r="H26" s="96"/>
      <c r="I26" s="91"/>
    </row>
    <row r="27">
      <c r="A27" s="96"/>
      <c r="B27" s="82"/>
      <c r="C27" s="82"/>
      <c r="D27" s="82"/>
      <c r="E27" s="82"/>
      <c r="F27" s="97"/>
      <c r="G27" s="98"/>
      <c r="H27" s="105"/>
    </row>
    <row r="28">
      <c r="A28" s="96"/>
      <c r="B28" s="82"/>
      <c r="C28" s="82"/>
      <c r="D28" s="82"/>
      <c r="E28" s="82"/>
      <c r="F28" s="97"/>
      <c r="G28" s="98"/>
      <c r="H28" s="96"/>
    </row>
    <row r="29">
      <c r="A29" s="96"/>
      <c r="B29" s="82"/>
      <c r="C29" s="82"/>
      <c r="D29" s="82"/>
      <c r="E29" s="82"/>
      <c r="F29" s="97"/>
      <c r="G29" s="98"/>
      <c r="H29" s="105"/>
    </row>
    <row r="30">
      <c r="A30" s="96"/>
      <c r="B30" s="82"/>
      <c r="C30" s="82"/>
      <c r="D30" s="82"/>
      <c r="E30" s="82"/>
      <c r="F30" s="99"/>
      <c r="G30" s="98"/>
      <c r="H30" s="105"/>
    </row>
    <row r="31">
      <c r="A31" s="93"/>
      <c r="H31" s="100"/>
    </row>
    <row r="32">
      <c r="A32" s="101"/>
      <c r="B32" s="101"/>
      <c r="C32" s="101"/>
      <c r="D32" s="101"/>
      <c r="E32" s="101"/>
      <c r="F32" s="102"/>
      <c r="G32" s="102"/>
      <c r="H32" s="103"/>
    </row>
    <row r="33">
      <c r="A33" s="86"/>
      <c r="B33" s="87"/>
      <c r="C33" s="87"/>
      <c r="D33" s="87"/>
      <c r="E33" s="87"/>
      <c r="F33" s="88"/>
      <c r="G33" s="88"/>
      <c r="H33" s="89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</row>
    <row r="34">
      <c r="A34" s="90"/>
      <c r="B34" s="87"/>
      <c r="C34" s="87"/>
      <c r="D34" s="87"/>
      <c r="E34" s="87"/>
      <c r="F34" s="88"/>
      <c r="G34" s="88"/>
      <c r="H34" s="89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</row>
    <row r="35">
      <c r="A35" s="93"/>
      <c r="B35" s="93"/>
      <c r="C35" s="94"/>
      <c r="D35" s="94"/>
      <c r="E35" s="94"/>
      <c r="F35" s="95"/>
      <c r="G35" s="95"/>
      <c r="H35" s="104"/>
    </row>
    <row r="36">
      <c r="A36" s="96"/>
      <c r="B36" s="82"/>
      <c r="C36" s="82"/>
      <c r="D36" s="82"/>
      <c r="E36" s="82"/>
      <c r="F36" s="97"/>
      <c r="G36" s="98"/>
      <c r="H36" s="105"/>
    </row>
    <row r="37">
      <c r="A37" s="96"/>
      <c r="B37" s="82"/>
      <c r="C37" s="82"/>
      <c r="D37" s="82"/>
      <c r="E37" s="82"/>
      <c r="F37" s="97"/>
      <c r="G37" s="98"/>
      <c r="H37" s="96"/>
    </row>
    <row r="38">
      <c r="A38" s="96"/>
      <c r="B38" s="82"/>
      <c r="C38" s="82"/>
      <c r="D38" s="82"/>
      <c r="E38" s="82"/>
      <c r="F38" s="97"/>
      <c r="G38" s="98"/>
      <c r="H38" s="96"/>
    </row>
    <row r="39">
      <c r="A39" s="96"/>
      <c r="B39" s="82"/>
      <c r="C39" s="82"/>
      <c r="D39" s="82"/>
      <c r="E39" s="82"/>
      <c r="F39" s="97"/>
      <c r="G39" s="98"/>
      <c r="H39" s="96"/>
    </row>
    <row r="40">
      <c r="A40" s="111"/>
      <c r="B40" s="112"/>
      <c r="C40" s="82"/>
      <c r="D40" s="82"/>
      <c r="E40" s="82"/>
      <c r="F40" s="97"/>
      <c r="G40" s="98"/>
      <c r="H40" s="111"/>
    </row>
    <row r="41">
      <c r="A41" s="96"/>
      <c r="B41" s="82"/>
      <c r="C41" s="82"/>
      <c r="D41" s="82"/>
      <c r="E41" s="82"/>
      <c r="F41" s="97"/>
      <c r="G41" s="98"/>
      <c r="H41" s="96"/>
    </row>
    <row r="42">
      <c r="A42" s="96"/>
      <c r="B42" s="82"/>
      <c r="C42" s="82"/>
      <c r="D42" s="82"/>
      <c r="E42" s="82"/>
      <c r="F42" s="97"/>
      <c r="G42" s="98"/>
      <c r="H42" s="96"/>
    </row>
    <row r="43">
      <c r="A43" s="96"/>
      <c r="B43" s="82"/>
      <c r="C43" s="82"/>
      <c r="D43" s="82"/>
      <c r="E43" s="82"/>
      <c r="F43" s="97"/>
      <c r="G43" s="98"/>
      <c r="H43" s="96"/>
      <c r="I43" s="91"/>
    </row>
    <row r="44">
      <c r="A44" s="96"/>
      <c r="B44" s="82"/>
      <c r="C44" s="82"/>
      <c r="D44" s="82"/>
      <c r="E44" s="82"/>
      <c r="F44" s="97"/>
      <c r="G44" s="98"/>
      <c r="H44" s="105"/>
    </row>
    <row r="45">
      <c r="A45" s="96"/>
      <c r="B45" s="82"/>
      <c r="C45" s="82"/>
      <c r="D45" s="82"/>
      <c r="E45" s="82"/>
      <c r="F45" s="97"/>
      <c r="G45" s="98"/>
      <c r="H45" s="96"/>
    </row>
    <row r="46">
      <c r="A46" s="96"/>
      <c r="B46" s="82"/>
      <c r="C46" s="82"/>
      <c r="D46" s="82"/>
      <c r="E46" s="82"/>
      <c r="F46" s="97"/>
      <c r="G46" s="98"/>
      <c r="H46" s="105"/>
    </row>
    <row r="47">
      <c r="A47" s="93"/>
      <c r="H47" s="100"/>
    </row>
    <row r="48">
      <c r="A48" s="101"/>
      <c r="B48" s="101"/>
      <c r="C48" s="101"/>
      <c r="D48" s="101"/>
      <c r="E48" s="101"/>
      <c r="F48" s="102"/>
      <c r="G48" s="102"/>
      <c r="H48" s="103"/>
    </row>
    <row r="49">
      <c r="A49" s="86"/>
      <c r="B49" s="87"/>
      <c r="C49" s="87"/>
      <c r="D49" s="87"/>
      <c r="E49" s="87"/>
      <c r="F49" s="88"/>
      <c r="G49" s="88"/>
      <c r="H49" s="89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</row>
    <row r="50">
      <c r="A50" s="90"/>
      <c r="B50" s="87"/>
      <c r="C50" s="87"/>
      <c r="D50" s="87"/>
      <c r="E50" s="87"/>
      <c r="F50" s="88"/>
      <c r="G50" s="88"/>
      <c r="H50" s="89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</row>
    <row r="51">
      <c r="A51" s="93"/>
      <c r="B51" s="93"/>
      <c r="C51" s="94"/>
      <c r="D51" s="94"/>
      <c r="E51" s="94"/>
      <c r="F51" s="95"/>
      <c r="G51" s="95"/>
      <c r="H51" s="104"/>
    </row>
    <row r="52">
      <c r="A52" s="96"/>
      <c r="B52" s="82"/>
      <c r="C52" s="82"/>
      <c r="D52" s="82"/>
      <c r="E52" s="82"/>
      <c r="F52" s="97"/>
      <c r="G52" s="98"/>
      <c r="H52" s="105"/>
    </row>
    <row r="53">
      <c r="A53" s="96"/>
      <c r="B53" s="82"/>
      <c r="C53" s="82"/>
      <c r="D53" s="82"/>
      <c r="E53" s="82"/>
      <c r="F53" s="97"/>
      <c r="G53" s="98"/>
      <c r="H53" s="96"/>
    </row>
    <row r="54">
      <c r="A54" s="96"/>
      <c r="B54" s="82"/>
      <c r="C54" s="82"/>
      <c r="D54" s="82"/>
      <c r="E54" s="82"/>
      <c r="F54" s="97"/>
      <c r="G54" s="98"/>
      <c r="H54" s="96"/>
    </row>
    <row r="55">
      <c r="A55" s="96"/>
      <c r="B55" s="82"/>
      <c r="C55" s="82"/>
      <c r="D55" s="82"/>
      <c r="E55" s="82"/>
      <c r="F55" s="97"/>
      <c r="G55" s="98"/>
      <c r="H55" s="96"/>
    </row>
    <row r="56">
      <c r="A56" s="111"/>
      <c r="B56" s="112"/>
      <c r="C56" s="82"/>
      <c r="D56" s="82"/>
      <c r="E56" s="82"/>
      <c r="F56" s="97"/>
      <c r="G56" s="98"/>
      <c r="H56" s="111"/>
    </row>
    <row r="57">
      <c r="A57" s="96"/>
      <c r="B57" s="82"/>
      <c r="C57" s="82"/>
      <c r="D57" s="82"/>
      <c r="E57" s="82"/>
      <c r="F57" s="97"/>
      <c r="G57" s="98"/>
      <c r="H57" s="96"/>
    </row>
    <row r="58">
      <c r="A58" s="96"/>
      <c r="B58" s="82"/>
      <c r="C58" s="82"/>
      <c r="D58" s="82"/>
      <c r="E58" s="82"/>
      <c r="F58" s="97"/>
      <c r="G58" s="98"/>
      <c r="H58" s="96"/>
    </row>
    <row r="59">
      <c r="A59" s="96"/>
      <c r="B59" s="82"/>
      <c r="C59" s="82"/>
      <c r="D59" s="82"/>
      <c r="E59" s="82"/>
      <c r="F59" s="97"/>
      <c r="G59" s="98"/>
      <c r="H59" s="96"/>
      <c r="I59" s="91"/>
    </row>
    <row r="60">
      <c r="A60" s="96"/>
      <c r="B60" s="82"/>
      <c r="C60" s="82"/>
      <c r="D60" s="82"/>
      <c r="E60" s="82"/>
      <c r="F60" s="97"/>
      <c r="G60" s="98"/>
      <c r="H60" s="105"/>
    </row>
    <row r="61">
      <c r="A61" s="96"/>
      <c r="B61" s="82"/>
      <c r="C61" s="82"/>
      <c r="D61" s="82"/>
      <c r="E61" s="82"/>
      <c r="F61" s="97"/>
      <c r="G61" s="98"/>
      <c r="H61" s="96"/>
    </row>
    <row r="62">
      <c r="A62" s="96"/>
      <c r="B62" s="82"/>
      <c r="C62" s="82"/>
      <c r="D62" s="82"/>
      <c r="E62" s="82"/>
      <c r="F62" s="97"/>
      <c r="G62" s="98"/>
      <c r="H62" s="105"/>
    </row>
    <row r="63">
      <c r="A63" s="93"/>
      <c r="H63" s="100"/>
    </row>
    <row r="64">
      <c r="A64" s="101"/>
      <c r="B64" s="101"/>
      <c r="C64" s="101"/>
      <c r="D64" s="101"/>
      <c r="E64" s="101"/>
      <c r="F64" s="102"/>
      <c r="G64" s="102"/>
      <c r="H64" s="103"/>
    </row>
    <row r="65">
      <c r="A65" s="86"/>
      <c r="B65" s="87"/>
      <c r="C65" s="87"/>
      <c r="D65" s="87"/>
      <c r="E65" s="87"/>
      <c r="F65" s="88"/>
      <c r="G65" s="88"/>
      <c r="H65" s="89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</row>
    <row r="66">
      <c r="A66" s="90"/>
      <c r="B66" s="87"/>
      <c r="C66" s="87"/>
      <c r="D66" s="87"/>
      <c r="E66" s="87"/>
      <c r="F66" s="88"/>
      <c r="G66" s="88"/>
      <c r="H66" s="89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</row>
    <row r="67">
      <c r="A67" s="93"/>
      <c r="B67" s="93"/>
      <c r="C67" s="94"/>
      <c r="D67" s="94"/>
      <c r="E67" s="94"/>
      <c r="F67" s="95"/>
      <c r="G67" s="95"/>
      <c r="H67" s="104"/>
    </row>
    <row r="68">
      <c r="A68" s="96"/>
      <c r="B68" s="82"/>
      <c r="C68" s="82"/>
      <c r="D68" s="82"/>
      <c r="E68" s="82"/>
      <c r="F68" s="97"/>
      <c r="G68" s="98"/>
      <c r="H68" s="105"/>
    </row>
    <row r="69">
      <c r="A69" s="96"/>
      <c r="B69" s="82"/>
      <c r="C69" s="82"/>
      <c r="D69" s="82"/>
      <c r="E69" s="82"/>
      <c r="F69" s="97"/>
      <c r="G69" s="98"/>
      <c r="H69" s="96"/>
    </row>
    <row r="70">
      <c r="A70" s="96"/>
      <c r="B70" s="82"/>
      <c r="C70" s="82"/>
      <c r="D70" s="82"/>
      <c r="E70" s="82"/>
      <c r="F70" s="97"/>
      <c r="G70" s="98"/>
      <c r="H70" s="96"/>
    </row>
    <row r="71">
      <c r="A71" s="96"/>
      <c r="B71" s="82"/>
      <c r="C71" s="82"/>
      <c r="D71" s="82"/>
      <c r="E71" s="82"/>
      <c r="F71" s="97"/>
      <c r="G71" s="98"/>
      <c r="H71" s="96"/>
    </row>
    <row r="72">
      <c r="A72" s="111"/>
      <c r="B72" s="112"/>
      <c r="C72" s="82"/>
      <c r="D72" s="82"/>
      <c r="E72" s="82"/>
      <c r="F72" s="97"/>
      <c r="G72" s="98"/>
      <c r="H72" s="111"/>
    </row>
    <row r="73">
      <c r="A73" s="96"/>
      <c r="B73" s="82"/>
      <c r="C73" s="82"/>
      <c r="D73" s="82"/>
      <c r="E73" s="82"/>
      <c r="F73" s="97"/>
      <c r="G73" s="98"/>
      <c r="H73" s="96"/>
    </row>
    <row r="74">
      <c r="A74" s="96"/>
      <c r="B74" s="82"/>
      <c r="C74" s="82"/>
      <c r="D74" s="82"/>
      <c r="E74" s="82"/>
      <c r="F74" s="97"/>
      <c r="G74" s="98"/>
      <c r="H74" s="96"/>
    </row>
    <row r="75">
      <c r="A75" s="96"/>
      <c r="B75" s="82"/>
      <c r="C75" s="82"/>
      <c r="D75" s="82"/>
      <c r="E75" s="82"/>
      <c r="F75" s="97"/>
      <c r="G75" s="98"/>
      <c r="H75" s="96"/>
      <c r="I75" s="91"/>
    </row>
    <row r="76">
      <c r="A76" s="96"/>
      <c r="B76" s="82"/>
      <c r="C76" s="82"/>
      <c r="D76" s="82"/>
      <c r="E76" s="82"/>
      <c r="F76" s="97"/>
      <c r="G76" s="98"/>
      <c r="H76" s="105"/>
    </row>
    <row r="77">
      <c r="A77" s="96"/>
      <c r="B77" s="82"/>
      <c r="C77" s="82"/>
      <c r="D77" s="82"/>
      <c r="E77" s="82"/>
      <c r="F77" s="97"/>
      <c r="G77" s="98"/>
      <c r="H77" s="96"/>
    </row>
    <row r="78">
      <c r="A78" s="96"/>
      <c r="B78" s="82"/>
      <c r="C78" s="82"/>
      <c r="D78" s="82"/>
      <c r="E78" s="82"/>
      <c r="F78" s="97"/>
      <c r="G78" s="98"/>
      <c r="H78" s="105"/>
    </row>
    <row r="79">
      <c r="A79" s="93"/>
      <c r="H79" s="100"/>
    </row>
    <row r="80">
      <c r="A80" s="101"/>
      <c r="B80" s="101"/>
      <c r="C80" s="101"/>
      <c r="D80" s="101"/>
      <c r="E80" s="101"/>
      <c r="F80" s="102"/>
      <c r="G80" s="102"/>
      <c r="H80" s="103"/>
    </row>
    <row r="81">
      <c r="A81" s="86"/>
      <c r="B81" s="87"/>
      <c r="C81" s="87"/>
      <c r="D81" s="87"/>
      <c r="E81" s="87"/>
      <c r="F81" s="88"/>
      <c r="G81" s="88"/>
      <c r="H81" s="89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</row>
    <row r="82">
      <c r="A82" s="90"/>
      <c r="B82" s="87"/>
      <c r="C82" s="87"/>
      <c r="D82" s="87"/>
      <c r="E82" s="87"/>
      <c r="F82" s="88"/>
      <c r="G82" s="88"/>
      <c r="H82" s="89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</row>
    <row r="83">
      <c r="A83" s="93"/>
      <c r="B83" s="93"/>
      <c r="C83" s="94"/>
      <c r="D83" s="94"/>
      <c r="E83" s="94"/>
      <c r="F83" s="95"/>
      <c r="G83" s="95"/>
      <c r="H83" s="104"/>
    </row>
    <row r="84">
      <c r="A84" s="96"/>
      <c r="B84" s="82"/>
      <c r="C84" s="82"/>
      <c r="D84" s="82"/>
      <c r="E84" s="82"/>
      <c r="F84" s="97"/>
      <c r="G84" s="98"/>
      <c r="H84" s="105"/>
    </row>
    <row r="85">
      <c r="A85" s="96"/>
      <c r="B85" s="82"/>
      <c r="C85" s="82"/>
      <c r="D85" s="82"/>
      <c r="E85" s="82"/>
      <c r="F85" s="97"/>
      <c r="G85" s="98"/>
      <c r="H85" s="96"/>
    </row>
    <row r="86">
      <c r="A86" s="96"/>
      <c r="B86" s="82"/>
      <c r="C86" s="82"/>
      <c r="D86" s="82"/>
      <c r="E86" s="82"/>
      <c r="F86" s="97"/>
      <c r="G86" s="98"/>
      <c r="H86" s="96"/>
    </row>
    <row r="87">
      <c r="A87" s="96"/>
      <c r="B87" s="82"/>
      <c r="C87" s="82"/>
      <c r="D87" s="82"/>
      <c r="E87" s="82"/>
      <c r="F87" s="97"/>
      <c r="G87" s="98"/>
      <c r="H87" s="96"/>
    </row>
    <row r="88">
      <c r="A88" s="111"/>
      <c r="B88" s="112"/>
      <c r="C88" s="82"/>
      <c r="D88" s="82"/>
      <c r="E88" s="82"/>
      <c r="F88" s="97"/>
      <c r="G88" s="98"/>
      <c r="H88" s="111"/>
    </row>
    <row r="89">
      <c r="A89" s="96"/>
      <c r="B89" s="82"/>
      <c r="C89" s="82"/>
      <c r="D89" s="82"/>
      <c r="E89" s="82"/>
      <c r="F89" s="97"/>
      <c r="G89" s="98"/>
      <c r="H89" s="96"/>
    </row>
    <row r="90">
      <c r="A90" s="96"/>
      <c r="B90" s="82"/>
      <c r="C90" s="82"/>
      <c r="D90" s="82"/>
      <c r="E90" s="82"/>
      <c r="F90" s="97"/>
      <c r="G90" s="98"/>
      <c r="H90" s="96"/>
    </row>
    <row r="91">
      <c r="A91" s="96"/>
      <c r="B91" s="82"/>
      <c r="C91" s="82"/>
      <c r="D91" s="82"/>
      <c r="E91" s="82"/>
      <c r="F91" s="97"/>
      <c r="G91" s="98"/>
      <c r="H91" s="96"/>
      <c r="I91" s="91"/>
    </row>
    <row r="92">
      <c r="A92" s="96"/>
      <c r="B92" s="82"/>
      <c r="C92" s="82"/>
      <c r="D92" s="82"/>
      <c r="E92" s="82"/>
      <c r="F92" s="97"/>
      <c r="G92" s="98"/>
      <c r="H92" s="105"/>
    </row>
    <row r="93">
      <c r="A93" s="96"/>
      <c r="B93" s="82"/>
      <c r="C93" s="82"/>
      <c r="D93" s="82"/>
      <c r="E93" s="82"/>
      <c r="F93" s="97"/>
      <c r="G93" s="98"/>
      <c r="H93" s="96"/>
    </row>
    <row r="94">
      <c r="A94" s="96"/>
      <c r="B94" s="82"/>
      <c r="C94" s="82"/>
      <c r="D94" s="82"/>
      <c r="E94" s="82"/>
      <c r="F94" s="97"/>
      <c r="G94" s="98"/>
      <c r="H94" s="105"/>
    </row>
    <row r="95">
      <c r="A95" s="93"/>
      <c r="H95" s="100"/>
    </row>
    <row r="96">
      <c r="A96" s="101"/>
      <c r="B96" s="101"/>
      <c r="C96" s="101"/>
      <c r="D96" s="101"/>
      <c r="E96" s="101"/>
      <c r="F96" s="102"/>
      <c r="G96" s="102"/>
      <c r="H96" s="103"/>
    </row>
    <row r="97">
      <c r="A97" s="86"/>
      <c r="B97" s="87"/>
      <c r="C97" s="87"/>
      <c r="D97" s="87"/>
      <c r="E97" s="87"/>
      <c r="F97" s="88"/>
      <c r="G97" s="88"/>
      <c r="H97" s="89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</row>
    <row r="98">
      <c r="A98" s="90"/>
      <c r="B98" s="87"/>
      <c r="C98" s="87"/>
      <c r="D98" s="87"/>
      <c r="E98" s="87"/>
      <c r="F98" s="88"/>
      <c r="G98" s="88"/>
      <c r="H98" s="89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</row>
    <row r="99">
      <c r="A99" s="93"/>
      <c r="B99" s="93"/>
      <c r="C99" s="94"/>
      <c r="D99" s="94"/>
      <c r="E99" s="94"/>
      <c r="F99" s="95"/>
      <c r="G99" s="95"/>
      <c r="H99" s="104"/>
    </row>
    <row r="100">
      <c r="A100" s="96"/>
      <c r="B100" s="82"/>
      <c r="C100" s="82"/>
      <c r="D100" s="82"/>
      <c r="E100" s="82"/>
      <c r="F100" s="97"/>
      <c r="G100" s="98"/>
      <c r="H100" s="105"/>
    </row>
    <row r="101">
      <c r="A101" s="96"/>
      <c r="B101" s="82"/>
      <c r="C101" s="82"/>
      <c r="D101" s="82"/>
      <c r="E101" s="82"/>
      <c r="F101" s="97"/>
      <c r="G101" s="98"/>
      <c r="H101" s="96"/>
    </row>
    <row r="102">
      <c r="A102" s="96"/>
      <c r="B102" s="82"/>
      <c r="C102" s="82"/>
      <c r="D102" s="82"/>
      <c r="E102" s="82"/>
      <c r="F102" s="97"/>
      <c r="G102" s="98"/>
      <c r="H102" s="96"/>
    </row>
    <row r="103">
      <c r="A103" s="96"/>
      <c r="B103" s="82"/>
      <c r="C103" s="82"/>
      <c r="D103" s="82"/>
      <c r="E103" s="82"/>
      <c r="F103" s="97"/>
      <c r="G103" s="98"/>
      <c r="H103" s="96"/>
    </row>
    <row r="104">
      <c r="A104" s="111"/>
      <c r="B104" s="112"/>
      <c r="C104" s="82"/>
      <c r="D104" s="82"/>
      <c r="E104" s="82"/>
      <c r="F104" s="97"/>
      <c r="G104" s="98"/>
      <c r="H104" s="111"/>
    </row>
    <row r="105">
      <c r="A105" s="96"/>
      <c r="B105" s="82"/>
      <c r="C105" s="82"/>
      <c r="D105" s="82"/>
      <c r="E105" s="82"/>
      <c r="F105" s="97"/>
      <c r="G105" s="98"/>
      <c r="H105" s="96"/>
    </row>
    <row r="106">
      <c r="A106" s="96"/>
      <c r="B106" s="82"/>
      <c r="C106" s="82"/>
      <c r="D106" s="82"/>
      <c r="E106" s="82"/>
      <c r="F106" s="97"/>
      <c r="G106" s="98"/>
      <c r="H106" s="96"/>
    </row>
    <row r="107">
      <c r="A107" s="96"/>
      <c r="B107" s="82"/>
      <c r="C107" s="82"/>
      <c r="D107" s="82"/>
      <c r="E107" s="82"/>
      <c r="F107" s="97"/>
      <c r="G107" s="98"/>
      <c r="H107" s="96"/>
      <c r="I107" s="91"/>
    </row>
    <row r="108">
      <c r="A108" s="96"/>
      <c r="B108" s="82"/>
      <c r="C108" s="82"/>
      <c r="D108" s="82"/>
      <c r="E108" s="82"/>
      <c r="F108" s="97"/>
      <c r="G108" s="98"/>
      <c r="H108" s="105"/>
    </row>
    <row r="109">
      <c r="A109" s="96"/>
      <c r="B109" s="82"/>
      <c r="C109" s="82"/>
      <c r="D109" s="82"/>
      <c r="E109" s="82"/>
      <c r="F109" s="97"/>
      <c r="G109" s="98"/>
      <c r="H109" s="96"/>
    </row>
    <row r="110">
      <c r="A110" s="96"/>
      <c r="B110" s="82"/>
      <c r="C110" s="82"/>
      <c r="D110" s="82"/>
      <c r="E110" s="82"/>
      <c r="F110" s="97"/>
      <c r="G110" s="98"/>
      <c r="H110" s="105"/>
    </row>
    <row r="111">
      <c r="A111" s="93"/>
      <c r="H111" s="100"/>
    </row>
    <row r="112">
      <c r="A112" s="101"/>
      <c r="B112" s="101"/>
      <c r="C112" s="101"/>
      <c r="D112" s="101"/>
      <c r="E112" s="101"/>
      <c r="F112" s="102"/>
      <c r="G112" s="102"/>
      <c r="H112" s="103"/>
    </row>
    <row r="113">
      <c r="A113" s="86"/>
      <c r="B113" s="87"/>
      <c r="C113" s="87"/>
      <c r="D113" s="87"/>
      <c r="E113" s="87"/>
      <c r="F113" s="88"/>
      <c r="G113" s="88"/>
      <c r="H113" s="89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</row>
    <row r="114">
      <c r="A114" s="90"/>
      <c r="B114" s="87"/>
      <c r="C114" s="87"/>
      <c r="D114" s="87"/>
      <c r="E114" s="87"/>
      <c r="F114" s="88"/>
      <c r="G114" s="88"/>
      <c r="H114" s="89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</row>
    <row r="115">
      <c r="A115" s="93"/>
      <c r="B115" s="93"/>
      <c r="C115" s="94"/>
      <c r="D115" s="94"/>
      <c r="E115" s="94"/>
      <c r="F115" s="95"/>
      <c r="G115" s="95"/>
      <c r="H115" s="104"/>
    </row>
    <row r="116">
      <c r="A116" s="96"/>
      <c r="B116" s="82"/>
      <c r="C116" s="82"/>
      <c r="D116" s="82"/>
      <c r="E116" s="82"/>
      <c r="F116" s="97"/>
      <c r="G116" s="98"/>
      <c r="H116" s="105"/>
    </row>
    <row r="117">
      <c r="A117" s="96"/>
      <c r="B117" s="82"/>
      <c r="C117" s="82"/>
      <c r="D117" s="82"/>
      <c r="E117" s="82"/>
      <c r="F117" s="97"/>
      <c r="G117" s="98"/>
      <c r="H117" s="96"/>
    </row>
    <row r="118">
      <c r="A118" s="96"/>
      <c r="B118" s="82"/>
      <c r="C118" s="82"/>
      <c r="D118" s="82"/>
      <c r="E118" s="82"/>
      <c r="F118" s="97"/>
      <c r="G118" s="98"/>
      <c r="H118" s="96"/>
    </row>
    <row r="119">
      <c r="A119" s="96"/>
      <c r="B119" s="82"/>
      <c r="C119" s="82"/>
      <c r="D119" s="82"/>
      <c r="E119" s="82"/>
      <c r="F119" s="97"/>
      <c r="G119" s="98"/>
      <c r="H119" s="96"/>
    </row>
    <row r="120">
      <c r="A120" s="111"/>
      <c r="B120" s="112"/>
      <c r="C120" s="82"/>
      <c r="D120" s="82"/>
      <c r="E120" s="82"/>
      <c r="F120" s="97"/>
      <c r="G120" s="98"/>
      <c r="H120" s="111"/>
    </row>
    <row r="121">
      <c r="A121" s="96"/>
      <c r="B121" s="82"/>
      <c r="C121" s="82"/>
      <c r="D121" s="82"/>
      <c r="E121" s="82"/>
      <c r="F121" s="97"/>
      <c r="G121" s="98"/>
      <c r="H121" s="96"/>
    </row>
    <row r="122">
      <c r="A122" s="96"/>
      <c r="B122" s="82"/>
      <c r="C122" s="82"/>
      <c r="D122" s="82"/>
      <c r="E122" s="82"/>
      <c r="F122" s="97"/>
      <c r="G122" s="98"/>
      <c r="H122" s="96"/>
    </row>
    <row r="123">
      <c r="A123" s="96"/>
      <c r="B123" s="82"/>
      <c r="C123" s="82"/>
      <c r="D123" s="82"/>
      <c r="E123" s="82"/>
      <c r="F123" s="97"/>
      <c r="G123" s="98"/>
      <c r="H123" s="96"/>
      <c r="I123" s="91"/>
    </row>
    <row r="124">
      <c r="A124" s="96"/>
      <c r="B124" s="82"/>
      <c r="C124" s="82"/>
      <c r="D124" s="82"/>
      <c r="E124" s="82"/>
      <c r="F124" s="97"/>
      <c r="G124" s="98"/>
      <c r="H124" s="105"/>
    </row>
    <row r="125">
      <c r="A125" s="96"/>
      <c r="B125" s="82"/>
      <c r="C125" s="82"/>
      <c r="D125" s="82"/>
      <c r="E125" s="82"/>
      <c r="F125" s="97"/>
      <c r="G125" s="98"/>
      <c r="H125" s="96"/>
    </row>
    <row r="126">
      <c r="A126" s="96"/>
      <c r="B126" s="82"/>
      <c r="C126" s="82"/>
      <c r="D126" s="82"/>
      <c r="E126" s="82"/>
      <c r="F126" s="97"/>
      <c r="G126" s="98"/>
      <c r="H126" s="105"/>
    </row>
    <row r="127">
      <c r="A127" s="93"/>
      <c r="H127" s="100"/>
    </row>
    <row r="128">
      <c r="A128" s="101"/>
      <c r="B128" s="101"/>
      <c r="C128" s="101"/>
      <c r="D128" s="101"/>
      <c r="E128" s="101"/>
      <c r="F128" s="102"/>
      <c r="G128" s="102"/>
      <c r="H128" s="103"/>
    </row>
    <row r="129">
      <c r="A129" s="86"/>
      <c r="B129" s="87"/>
      <c r="C129" s="87"/>
      <c r="D129" s="87"/>
      <c r="E129" s="87"/>
      <c r="F129" s="87"/>
      <c r="G129" s="88"/>
      <c r="H129" s="89"/>
    </row>
    <row r="130">
      <c r="A130" s="90"/>
      <c r="B130" s="87"/>
      <c r="C130" s="87"/>
      <c r="D130" s="87"/>
      <c r="E130" s="87"/>
      <c r="F130" s="88"/>
      <c r="G130" s="88"/>
      <c r="H130" s="87"/>
    </row>
    <row r="131">
      <c r="A131" s="93"/>
      <c r="B131" s="93"/>
      <c r="C131" s="94"/>
      <c r="D131" s="94"/>
      <c r="E131" s="94"/>
      <c r="F131" s="95"/>
      <c r="G131" s="95"/>
      <c r="H131" s="104"/>
    </row>
    <row r="132">
      <c r="A132" s="96"/>
      <c r="B132" s="82"/>
      <c r="C132" s="82"/>
      <c r="D132" s="82"/>
      <c r="E132" s="82"/>
      <c r="F132" s="97"/>
      <c r="G132" s="98"/>
      <c r="H132" s="105"/>
    </row>
    <row r="133">
      <c r="A133" s="96"/>
      <c r="B133" s="82"/>
      <c r="C133" s="82"/>
      <c r="D133" s="82"/>
      <c r="E133" s="82"/>
      <c r="F133" s="97"/>
      <c r="G133" s="98"/>
      <c r="H133" s="96"/>
    </row>
    <row r="134">
      <c r="A134" s="96"/>
      <c r="B134" s="82"/>
      <c r="C134" s="82"/>
      <c r="D134" s="82"/>
      <c r="E134" s="82"/>
      <c r="F134" s="97"/>
      <c r="G134" s="98"/>
      <c r="H134" s="96"/>
    </row>
    <row r="135">
      <c r="A135" s="96"/>
      <c r="B135" s="82"/>
      <c r="C135" s="82"/>
      <c r="D135" s="82"/>
      <c r="E135" s="82"/>
      <c r="F135" s="97"/>
      <c r="G135" s="98"/>
      <c r="H135" s="96"/>
    </row>
    <row r="136">
      <c r="A136" s="111"/>
      <c r="B136" s="112"/>
      <c r="C136" s="82"/>
      <c r="D136" s="82"/>
      <c r="E136" s="82"/>
      <c r="F136" s="97"/>
      <c r="G136" s="98"/>
      <c r="H136" s="111"/>
    </row>
    <row r="137">
      <c r="A137" s="96"/>
      <c r="B137" s="82"/>
      <c r="C137" s="82"/>
      <c r="D137" s="82"/>
      <c r="E137" s="82"/>
      <c r="F137" s="97"/>
      <c r="G137" s="98"/>
      <c r="H137" s="96"/>
    </row>
    <row r="138">
      <c r="A138" s="96"/>
      <c r="B138" s="82"/>
      <c r="C138" s="82"/>
      <c r="D138" s="82"/>
      <c r="E138" s="82"/>
      <c r="F138" s="97"/>
      <c r="G138" s="98"/>
      <c r="H138" s="96"/>
    </row>
    <row r="139">
      <c r="A139" s="96"/>
      <c r="B139" s="82"/>
      <c r="C139" s="82"/>
      <c r="D139" s="82"/>
      <c r="E139" s="82"/>
      <c r="F139" s="97"/>
      <c r="G139" s="98"/>
      <c r="H139" s="96"/>
      <c r="I139" s="91"/>
    </row>
    <row r="140">
      <c r="A140" s="96"/>
      <c r="B140" s="82"/>
      <c r="C140" s="82"/>
      <c r="D140" s="82"/>
      <c r="E140" s="82"/>
      <c r="F140" s="99"/>
      <c r="G140" s="98"/>
      <c r="H140" s="105"/>
    </row>
    <row r="141">
      <c r="A141" s="96"/>
      <c r="B141" s="82"/>
      <c r="C141" s="82"/>
      <c r="D141" s="82"/>
      <c r="E141" s="82"/>
      <c r="F141" s="97"/>
      <c r="G141" s="98"/>
      <c r="H141" s="105"/>
    </row>
    <row r="142">
      <c r="A142" s="96"/>
      <c r="B142" s="82"/>
      <c r="C142" s="82"/>
      <c r="D142" s="82"/>
      <c r="E142" s="82"/>
      <c r="F142" s="97"/>
      <c r="G142" s="98"/>
      <c r="H142" s="96"/>
    </row>
    <row r="143">
      <c r="A143" s="96"/>
      <c r="B143" s="82"/>
      <c r="C143" s="82"/>
      <c r="D143" s="82"/>
      <c r="E143" s="82"/>
      <c r="F143" s="97"/>
      <c r="G143" s="98"/>
      <c r="H143" s="105"/>
    </row>
    <row r="144">
      <c r="A144" s="93"/>
      <c r="H144" s="100"/>
    </row>
    <row r="145">
      <c r="A145" s="113"/>
      <c r="B145" s="113"/>
      <c r="C145" s="101"/>
      <c r="D145" s="101"/>
      <c r="E145" s="101"/>
      <c r="F145" s="102"/>
      <c r="G145" s="102"/>
      <c r="H145" s="103"/>
    </row>
    <row r="146">
      <c r="A146" s="86"/>
      <c r="B146" s="87"/>
      <c r="C146" s="87"/>
      <c r="D146" s="87"/>
      <c r="E146" s="87"/>
      <c r="F146" s="87"/>
      <c r="G146" s="88"/>
      <c r="H146" s="89"/>
    </row>
    <row r="147">
      <c r="A147" s="90"/>
      <c r="B147" s="87"/>
      <c r="C147" s="87"/>
      <c r="D147" s="87"/>
      <c r="E147" s="87"/>
      <c r="F147" s="88"/>
      <c r="G147" s="88"/>
      <c r="H147" s="87"/>
    </row>
    <row r="148">
      <c r="A148" s="93"/>
      <c r="B148" s="93"/>
      <c r="C148" s="94"/>
      <c r="D148" s="94"/>
      <c r="E148" s="94"/>
      <c r="F148" s="95"/>
      <c r="G148" s="95"/>
      <c r="H148" s="104"/>
    </row>
    <row r="149">
      <c r="A149" s="96"/>
      <c r="B149" s="82"/>
      <c r="C149" s="82"/>
      <c r="D149" s="82"/>
      <c r="E149" s="82"/>
      <c r="F149" s="97"/>
      <c r="G149" s="98"/>
      <c r="H149" s="105"/>
    </row>
    <row r="150">
      <c r="A150" s="96"/>
      <c r="B150" s="82"/>
      <c r="C150" s="82"/>
      <c r="D150" s="82"/>
      <c r="E150" s="82"/>
      <c r="F150" s="97"/>
      <c r="G150" s="98"/>
      <c r="H150" s="96"/>
    </row>
    <row r="151">
      <c r="A151" s="96"/>
      <c r="B151" s="82"/>
      <c r="C151" s="82"/>
      <c r="D151" s="82"/>
      <c r="E151" s="82"/>
      <c r="F151" s="97"/>
      <c r="G151" s="98"/>
      <c r="H151" s="96"/>
    </row>
    <row r="152">
      <c r="A152" s="96"/>
      <c r="B152" s="82"/>
      <c r="C152" s="82"/>
      <c r="D152" s="82"/>
      <c r="E152" s="82"/>
      <c r="F152" s="97"/>
      <c r="G152" s="98"/>
      <c r="H152" s="96"/>
    </row>
    <row r="153">
      <c r="A153" s="111"/>
      <c r="B153" s="112"/>
      <c r="C153" s="82"/>
      <c r="D153" s="82"/>
      <c r="E153" s="82"/>
      <c r="F153" s="97"/>
      <c r="G153" s="98"/>
      <c r="H153" s="111"/>
    </row>
    <row r="154">
      <c r="A154" s="96"/>
      <c r="B154" s="82"/>
      <c r="C154" s="82"/>
      <c r="D154" s="82"/>
      <c r="E154" s="82"/>
      <c r="F154" s="97"/>
      <c r="G154" s="98"/>
      <c r="H154" s="96"/>
    </row>
    <row r="155">
      <c r="A155" s="96"/>
      <c r="B155" s="82"/>
      <c r="C155" s="82"/>
      <c r="D155" s="82"/>
      <c r="E155" s="82"/>
      <c r="F155" s="97"/>
      <c r="G155" s="98"/>
      <c r="H155" s="96"/>
    </row>
    <row r="156">
      <c r="A156" s="96"/>
      <c r="B156" s="82"/>
      <c r="C156" s="82"/>
      <c r="D156" s="82"/>
      <c r="E156" s="82"/>
      <c r="F156" s="97"/>
      <c r="G156" s="98"/>
      <c r="H156" s="96"/>
      <c r="I156" s="91"/>
    </row>
    <row r="157">
      <c r="A157" s="96"/>
      <c r="B157" s="82"/>
      <c r="C157" s="82"/>
      <c r="D157" s="82"/>
      <c r="E157" s="82"/>
      <c r="F157" s="99"/>
      <c r="G157" s="98"/>
      <c r="H157" s="105"/>
    </row>
    <row r="158">
      <c r="A158" s="96"/>
      <c r="B158" s="82"/>
      <c r="C158" s="82"/>
      <c r="D158" s="82"/>
      <c r="E158" s="82"/>
      <c r="F158" s="97"/>
      <c r="G158" s="98"/>
      <c r="H158" s="105"/>
    </row>
    <row r="159">
      <c r="A159" s="96"/>
      <c r="B159" s="82"/>
      <c r="C159" s="82"/>
      <c r="D159" s="82"/>
      <c r="E159" s="82"/>
      <c r="F159" s="97"/>
      <c r="G159" s="98"/>
      <c r="H159" s="96"/>
    </row>
    <row r="160">
      <c r="A160" s="96"/>
      <c r="B160" s="82"/>
      <c r="C160" s="82"/>
      <c r="D160" s="82"/>
      <c r="E160" s="82"/>
      <c r="F160" s="97"/>
      <c r="G160" s="98"/>
      <c r="H160" s="105"/>
    </row>
    <row r="161">
      <c r="A161" s="93"/>
      <c r="H161" s="100"/>
    </row>
    <row r="162">
      <c r="A162" s="101"/>
      <c r="B162" s="101"/>
      <c r="C162" s="101"/>
      <c r="D162" s="101"/>
      <c r="E162" s="101"/>
      <c r="F162" s="102"/>
      <c r="G162" s="102"/>
      <c r="H162" s="103"/>
    </row>
    <row r="163">
      <c r="A163" s="86"/>
      <c r="B163" s="87"/>
      <c r="C163" s="87"/>
      <c r="D163" s="87"/>
      <c r="E163" s="87"/>
      <c r="F163" s="87"/>
      <c r="G163" s="88"/>
      <c r="H163" s="89"/>
    </row>
    <row r="164">
      <c r="A164" s="90"/>
      <c r="B164" s="87"/>
      <c r="C164" s="87"/>
      <c r="D164" s="87"/>
      <c r="E164" s="87"/>
      <c r="F164" s="88"/>
      <c r="G164" s="88"/>
      <c r="H164" s="87"/>
    </row>
    <row r="165">
      <c r="A165" s="93"/>
      <c r="B165" s="93"/>
      <c r="C165" s="94"/>
      <c r="D165" s="94"/>
      <c r="E165" s="94"/>
      <c r="F165" s="95"/>
      <c r="G165" s="95"/>
      <c r="H165" s="104"/>
    </row>
    <row r="166">
      <c r="A166" s="96"/>
      <c r="B166" s="82"/>
      <c r="C166" s="82"/>
      <c r="D166" s="82"/>
      <c r="E166" s="82"/>
      <c r="F166" s="97"/>
      <c r="G166" s="98"/>
      <c r="H166" s="105"/>
    </row>
    <row r="167">
      <c r="A167" s="96"/>
      <c r="B167" s="82"/>
      <c r="C167" s="82"/>
      <c r="D167" s="82"/>
      <c r="E167" s="82"/>
      <c r="F167" s="97"/>
      <c r="G167" s="98"/>
      <c r="H167" s="96"/>
    </row>
    <row r="168">
      <c r="A168" s="96"/>
      <c r="B168" s="82"/>
      <c r="C168" s="82"/>
      <c r="D168" s="82"/>
      <c r="E168" s="82"/>
      <c r="F168" s="97"/>
      <c r="G168" s="98"/>
      <c r="H168" s="96"/>
    </row>
    <row r="169">
      <c r="A169" s="96"/>
      <c r="B169" s="82"/>
      <c r="C169" s="82"/>
      <c r="D169" s="82"/>
      <c r="E169" s="82"/>
      <c r="F169" s="97"/>
      <c r="G169" s="98"/>
      <c r="H169" s="96"/>
    </row>
    <row r="170">
      <c r="A170" s="111"/>
      <c r="B170" s="112"/>
      <c r="C170" s="82"/>
      <c r="D170" s="82"/>
      <c r="E170" s="82"/>
      <c r="F170" s="97"/>
      <c r="G170" s="98"/>
      <c r="H170" s="111"/>
    </row>
    <row r="171">
      <c r="A171" s="96"/>
      <c r="B171" s="82"/>
      <c r="C171" s="82"/>
      <c r="D171" s="82"/>
      <c r="E171" s="82"/>
      <c r="F171" s="97"/>
      <c r="G171" s="98"/>
      <c r="H171" s="96"/>
    </row>
    <row r="172">
      <c r="A172" s="96"/>
      <c r="B172" s="82"/>
      <c r="C172" s="82"/>
      <c r="D172" s="82"/>
      <c r="E172" s="82"/>
      <c r="F172" s="97"/>
      <c r="G172" s="98"/>
      <c r="H172" s="96"/>
    </row>
    <row r="173">
      <c r="A173" s="96"/>
      <c r="B173" s="82"/>
      <c r="C173" s="82"/>
      <c r="D173" s="82"/>
      <c r="E173" s="82"/>
      <c r="F173" s="97"/>
      <c r="G173" s="98"/>
      <c r="H173" s="96"/>
      <c r="I173" s="91"/>
    </row>
    <row r="174">
      <c r="A174" s="96"/>
      <c r="B174" s="82"/>
      <c r="C174" s="82"/>
      <c r="D174" s="82"/>
      <c r="E174" s="82"/>
      <c r="F174" s="99"/>
      <c r="G174" s="98"/>
      <c r="H174" s="105"/>
    </row>
    <row r="175">
      <c r="A175" s="96"/>
      <c r="B175" s="82"/>
      <c r="C175" s="82"/>
      <c r="D175" s="82"/>
      <c r="E175" s="82"/>
      <c r="F175" s="97"/>
      <c r="G175" s="98"/>
      <c r="H175" s="105"/>
    </row>
    <row r="176">
      <c r="A176" s="96"/>
      <c r="B176" s="82"/>
      <c r="C176" s="82"/>
      <c r="D176" s="82"/>
      <c r="E176" s="82"/>
      <c r="F176" s="97"/>
      <c r="G176" s="98"/>
      <c r="H176" s="96"/>
    </row>
    <row r="177">
      <c r="A177" s="96"/>
      <c r="B177" s="82"/>
      <c r="C177" s="82"/>
      <c r="D177" s="82"/>
      <c r="E177" s="82"/>
      <c r="F177" s="97"/>
      <c r="G177" s="98"/>
      <c r="H177" s="105"/>
    </row>
    <row r="178">
      <c r="A178" s="93"/>
      <c r="H178" s="100"/>
    </row>
    <row r="179">
      <c r="A179" s="113"/>
      <c r="B179" s="113"/>
      <c r="C179" s="101"/>
      <c r="D179" s="101"/>
      <c r="E179" s="101"/>
      <c r="F179" s="102"/>
      <c r="G179" s="102"/>
      <c r="H179" s="103"/>
    </row>
    <row r="180">
      <c r="A180" s="90"/>
      <c r="B180" s="87"/>
      <c r="C180" s="87"/>
      <c r="D180" s="87"/>
      <c r="E180" s="87"/>
      <c r="F180" s="88"/>
      <c r="G180" s="88"/>
      <c r="H180" s="87"/>
    </row>
    <row r="181">
      <c r="A181" s="86"/>
      <c r="B181" s="87"/>
      <c r="C181" s="87"/>
      <c r="D181" s="87"/>
      <c r="E181" s="87"/>
      <c r="F181" s="88"/>
      <c r="G181" s="88"/>
      <c r="H181" s="87"/>
    </row>
    <row r="182">
      <c r="A182" s="93"/>
      <c r="B182" s="93"/>
      <c r="C182" s="94"/>
      <c r="D182" s="94"/>
      <c r="E182" s="94"/>
      <c r="F182" s="95"/>
      <c r="G182" s="95"/>
      <c r="H182" s="94"/>
    </row>
    <row r="183">
      <c r="A183" s="96"/>
      <c r="B183" s="82"/>
      <c r="C183" s="82"/>
      <c r="D183" s="82"/>
      <c r="E183" s="82"/>
      <c r="F183" s="99"/>
      <c r="G183" s="98"/>
      <c r="H183" s="105"/>
    </row>
    <row r="184">
      <c r="A184" s="96"/>
      <c r="B184" s="82"/>
      <c r="C184" s="82"/>
      <c r="D184" s="82"/>
      <c r="E184" s="82"/>
      <c r="F184" s="99"/>
      <c r="G184" s="98"/>
      <c r="H184" s="105"/>
    </row>
    <row r="185">
      <c r="A185" s="93"/>
      <c r="H185" s="100"/>
    </row>
    <row r="186">
      <c r="A186" s="101"/>
      <c r="B186" s="101"/>
      <c r="C186" s="101"/>
      <c r="D186" s="101"/>
      <c r="E186" s="101"/>
      <c r="F186" s="102"/>
      <c r="G186" s="102"/>
      <c r="H186" s="103"/>
    </row>
    <row r="187">
      <c r="A187" s="85"/>
    </row>
    <row r="188">
      <c r="A188" s="86"/>
      <c r="B188" s="87"/>
      <c r="C188" s="87"/>
      <c r="D188" s="87"/>
      <c r="E188" s="87"/>
      <c r="F188" s="88"/>
      <c r="G188" s="88"/>
      <c r="H188" s="87"/>
    </row>
    <row r="189">
      <c r="A189" s="90"/>
      <c r="B189" s="87"/>
      <c r="C189" s="87"/>
      <c r="D189" s="87"/>
      <c r="E189" s="87"/>
      <c r="F189" s="88"/>
      <c r="G189" s="88"/>
      <c r="H189" s="87"/>
    </row>
    <row r="190">
      <c r="A190" s="114"/>
      <c r="B190" s="114"/>
      <c r="C190" s="94"/>
      <c r="D190" s="94"/>
      <c r="E190" s="94"/>
      <c r="F190" s="95"/>
      <c r="G190" s="95"/>
      <c r="H190" s="115"/>
    </row>
    <row r="191">
      <c r="A191" s="96"/>
      <c r="B191" s="82"/>
      <c r="C191" s="82"/>
      <c r="D191" s="82"/>
      <c r="E191" s="82"/>
      <c r="F191" s="97"/>
      <c r="G191" s="98"/>
      <c r="H191" s="96"/>
    </row>
    <row r="192">
      <c r="A192" s="96"/>
      <c r="B192" s="82"/>
      <c r="C192" s="82"/>
      <c r="D192" s="82"/>
      <c r="E192" s="82"/>
      <c r="F192" s="99"/>
      <c r="G192" s="98"/>
      <c r="H192" s="105"/>
    </row>
    <row r="193">
      <c r="A193" s="96"/>
      <c r="B193" s="82"/>
      <c r="C193" s="82"/>
      <c r="D193" s="82"/>
      <c r="E193" s="82"/>
      <c r="F193" s="97"/>
      <c r="G193" s="98"/>
      <c r="H193" s="96"/>
    </row>
    <row r="194">
      <c r="A194" s="96"/>
      <c r="B194" s="82"/>
      <c r="C194" s="82"/>
      <c r="D194" s="82"/>
      <c r="E194" s="82"/>
      <c r="F194" s="97"/>
      <c r="G194" s="98"/>
      <c r="H194" s="96"/>
    </row>
    <row r="195">
      <c r="A195" s="96"/>
      <c r="B195" s="82"/>
      <c r="C195" s="82"/>
      <c r="D195" s="82"/>
      <c r="E195" s="82"/>
      <c r="F195" s="97"/>
      <c r="G195" s="98"/>
      <c r="H195" s="96"/>
    </row>
    <row r="196">
      <c r="A196" s="96"/>
      <c r="B196" s="82"/>
      <c r="C196" s="82"/>
      <c r="D196" s="82"/>
      <c r="E196" s="82"/>
      <c r="F196" s="97"/>
      <c r="G196" s="98"/>
      <c r="H196" s="105"/>
    </row>
    <row r="197">
      <c r="A197" s="96"/>
      <c r="B197" s="82"/>
      <c r="C197" s="82"/>
      <c r="D197" s="82"/>
      <c r="E197" s="82"/>
      <c r="F197" s="97"/>
      <c r="G197" s="98"/>
      <c r="H197" s="105"/>
    </row>
    <row r="198">
      <c r="A198" s="96"/>
      <c r="B198" s="82"/>
      <c r="C198" s="82"/>
      <c r="D198" s="82"/>
      <c r="E198" s="82"/>
      <c r="F198" s="97"/>
      <c r="G198" s="98"/>
      <c r="H198" s="105"/>
    </row>
    <row r="199">
      <c r="A199" s="96"/>
      <c r="B199" s="82"/>
      <c r="C199" s="82"/>
      <c r="D199" s="82"/>
      <c r="E199" s="82"/>
      <c r="F199" s="97"/>
      <c r="G199" s="98"/>
      <c r="H199" s="96"/>
    </row>
    <row r="200">
      <c r="A200" s="96"/>
      <c r="B200" s="82"/>
      <c r="C200" s="82"/>
      <c r="D200" s="82"/>
      <c r="E200" s="82"/>
      <c r="F200" s="99"/>
      <c r="G200" s="98"/>
      <c r="H200" s="96"/>
    </row>
    <row r="201">
      <c r="A201" s="93"/>
      <c r="H201" s="100"/>
    </row>
    <row r="202">
      <c r="A202" s="101"/>
      <c r="B202" s="101"/>
      <c r="C202" s="101"/>
      <c r="D202" s="101"/>
      <c r="E202" s="101"/>
      <c r="F202" s="102"/>
      <c r="G202" s="102"/>
      <c r="H202" s="103"/>
    </row>
    <row r="203">
      <c r="A203" s="86"/>
      <c r="B203" s="87"/>
      <c r="C203" s="87"/>
      <c r="D203" s="87"/>
      <c r="E203" s="87"/>
      <c r="F203" s="88"/>
      <c r="G203" s="88"/>
      <c r="H203" s="87"/>
    </row>
    <row r="204">
      <c r="A204" s="90"/>
      <c r="B204" s="87"/>
      <c r="C204" s="87"/>
      <c r="D204" s="87"/>
      <c r="E204" s="87"/>
      <c r="F204" s="88"/>
      <c r="G204" s="88"/>
      <c r="H204" s="87"/>
    </row>
    <row r="205">
      <c r="A205" s="114"/>
      <c r="B205" s="114"/>
      <c r="C205" s="94"/>
      <c r="D205" s="94"/>
      <c r="E205" s="94"/>
      <c r="F205" s="95"/>
      <c r="G205" s="95"/>
      <c r="H205" s="115"/>
    </row>
    <row r="206">
      <c r="A206" s="96"/>
      <c r="B206" s="82"/>
      <c r="C206" s="82"/>
      <c r="D206" s="82"/>
      <c r="E206" s="82"/>
      <c r="F206" s="97"/>
      <c r="G206" s="98"/>
      <c r="H206" s="105"/>
    </row>
    <row r="207">
      <c r="A207" s="96"/>
      <c r="B207" s="82"/>
      <c r="C207" s="82"/>
      <c r="D207" s="82"/>
      <c r="E207" s="82"/>
      <c r="F207" s="97"/>
      <c r="G207" s="98"/>
      <c r="H207" s="105"/>
    </row>
    <row r="208">
      <c r="A208" s="96"/>
      <c r="B208" s="82"/>
      <c r="C208" s="82"/>
      <c r="D208" s="82"/>
      <c r="E208" s="82"/>
      <c r="F208" s="97"/>
      <c r="G208" s="98"/>
      <c r="H208" s="105"/>
    </row>
    <row r="209">
      <c r="A209" s="93"/>
      <c r="H209" s="100"/>
    </row>
    <row r="210">
      <c r="A210" s="101"/>
      <c r="B210" s="101"/>
      <c r="C210" s="101"/>
      <c r="D210" s="101"/>
      <c r="E210" s="101"/>
      <c r="F210" s="102"/>
      <c r="G210" s="102"/>
      <c r="H210" s="103"/>
    </row>
    <row r="211">
      <c r="A211" s="86"/>
      <c r="B211" s="87"/>
      <c r="C211" s="87"/>
      <c r="D211" s="87"/>
      <c r="E211" s="87"/>
      <c r="F211" s="88"/>
      <c r="G211" s="88"/>
      <c r="H211" s="87"/>
    </row>
    <row r="212">
      <c r="A212" s="90"/>
      <c r="B212" s="87"/>
      <c r="C212" s="87"/>
      <c r="D212" s="87"/>
      <c r="E212" s="87"/>
      <c r="F212" s="88"/>
      <c r="G212" s="88"/>
      <c r="H212" s="87"/>
    </row>
    <row r="213">
      <c r="A213" s="114"/>
      <c r="B213" s="114"/>
      <c r="C213" s="94"/>
      <c r="D213" s="94"/>
      <c r="E213" s="94"/>
      <c r="F213" s="95"/>
      <c r="G213" s="95"/>
      <c r="H213" s="115"/>
    </row>
    <row r="214">
      <c r="A214" s="96"/>
      <c r="B214" s="82"/>
      <c r="C214" s="82"/>
      <c r="D214" s="82"/>
      <c r="E214" s="82"/>
      <c r="F214" s="97"/>
      <c r="G214" s="98"/>
      <c r="H214" s="105"/>
    </row>
    <row r="215">
      <c r="A215" s="96"/>
      <c r="B215" s="82"/>
      <c r="C215" s="82"/>
      <c r="D215" s="82"/>
      <c r="E215" s="82"/>
      <c r="F215" s="97"/>
      <c r="G215" s="98"/>
      <c r="H215" s="105"/>
    </row>
    <row r="216">
      <c r="A216" s="96"/>
      <c r="B216" s="82"/>
      <c r="C216" s="82"/>
      <c r="D216" s="82"/>
      <c r="E216" s="82"/>
      <c r="F216" s="97"/>
      <c r="G216" s="98"/>
      <c r="H216" s="105"/>
    </row>
    <row r="217">
      <c r="A217" s="93"/>
      <c r="H217" s="100"/>
    </row>
    <row r="218">
      <c r="A218" s="101"/>
      <c r="B218" s="101"/>
      <c r="C218" s="101"/>
      <c r="D218" s="101"/>
      <c r="E218" s="101"/>
      <c r="F218" s="102"/>
      <c r="G218" s="102"/>
      <c r="H218" s="103"/>
    </row>
    <row r="219">
      <c r="A219" s="86"/>
      <c r="B219" s="87"/>
      <c r="C219" s="87"/>
      <c r="D219" s="87"/>
      <c r="E219" s="87"/>
      <c r="F219" s="88"/>
      <c r="G219" s="88"/>
      <c r="H219" s="87"/>
    </row>
    <row r="220">
      <c r="A220" s="90"/>
      <c r="B220" s="87"/>
      <c r="C220" s="87"/>
      <c r="D220" s="87"/>
      <c r="E220" s="87"/>
      <c r="F220" s="88"/>
      <c r="G220" s="88"/>
      <c r="H220" s="87"/>
    </row>
    <row r="221">
      <c r="A221" s="114"/>
      <c r="B221" s="114"/>
      <c r="C221" s="94"/>
      <c r="D221" s="94"/>
      <c r="E221" s="94"/>
      <c r="F221" s="95"/>
      <c r="G221" s="95"/>
      <c r="H221" s="115"/>
    </row>
    <row r="222">
      <c r="A222" s="96"/>
      <c r="B222" s="82"/>
      <c r="C222" s="82"/>
      <c r="D222" s="82"/>
      <c r="E222" s="82"/>
      <c r="F222" s="97"/>
      <c r="G222" s="98"/>
      <c r="H222" s="105"/>
    </row>
    <row r="223">
      <c r="A223" s="96"/>
      <c r="B223" s="82"/>
      <c r="C223" s="82"/>
      <c r="D223" s="82"/>
      <c r="E223" s="82"/>
      <c r="F223" s="97"/>
      <c r="G223" s="98"/>
      <c r="H223" s="105"/>
    </row>
    <row r="224">
      <c r="A224" s="96"/>
      <c r="B224" s="82"/>
      <c r="C224" s="82"/>
      <c r="D224" s="82"/>
      <c r="E224" s="82"/>
      <c r="F224" s="97"/>
      <c r="G224" s="98"/>
      <c r="H224" s="105"/>
    </row>
    <row r="225">
      <c r="A225" s="93"/>
      <c r="H225" s="100"/>
    </row>
    <row r="226">
      <c r="A226" s="101"/>
      <c r="B226" s="101"/>
      <c r="C226" s="101"/>
      <c r="D226" s="101"/>
      <c r="E226" s="101"/>
      <c r="F226" s="102"/>
      <c r="G226" s="102"/>
      <c r="H226" s="103"/>
    </row>
    <row r="227">
      <c r="A227" s="86"/>
      <c r="B227" s="87"/>
      <c r="C227" s="87"/>
      <c r="D227" s="87"/>
      <c r="E227" s="87"/>
      <c r="F227" s="88"/>
      <c r="G227" s="88"/>
      <c r="H227" s="87"/>
    </row>
    <row r="228">
      <c r="A228" s="90"/>
      <c r="B228" s="87"/>
      <c r="C228" s="87"/>
      <c r="D228" s="87"/>
      <c r="E228" s="87"/>
      <c r="F228" s="88"/>
      <c r="G228" s="88"/>
      <c r="H228" s="87"/>
    </row>
    <row r="229">
      <c r="A229" s="114"/>
      <c r="B229" s="114"/>
      <c r="C229" s="94"/>
      <c r="D229" s="94"/>
      <c r="E229" s="94"/>
      <c r="F229" s="95"/>
      <c r="G229" s="95"/>
      <c r="H229" s="115"/>
    </row>
    <row r="230">
      <c r="A230" s="96"/>
      <c r="B230" s="82"/>
      <c r="C230" s="82"/>
      <c r="D230" s="82"/>
      <c r="E230" s="82"/>
      <c r="F230" s="97"/>
      <c r="G230" s="98"/>
      <c r="H230" s="105"/>
    </row>
    <row r="231">
      <c r="A231" s="96"/>
      <c r="B231" s="82"/>
      <c r="C231" s="82"/>
      <c r="D231" s="82"/>
      <c r="E231" s="82"/>
      <c r="F231" s="97"/>
      <c r="G231" s="98"/>
      <c r="H231" s="105"/>
    </row>
    <row r="232">
      <c r="A232" s="96"/>
      <c r="B232" s="82"/>
      <c r="C232" s="82"/>
      <c r="D232" s="82"/>
      <c r="E232" s="82"/>
      <c r="F232" s="97"/>
      <c r="G232" s="98"/>
      <c r="H232" s="105"/>
    </row>
    <row r="233">
      <c r="A233" s="93"/>
      <c r="H233" s="100"/>
    </row>
    <row r="234">
      <c r="A234" s="101"/>
      <c r="B234" s="101"/>
      <c r="C234" s="101"/>
      <c r="D234" s="101"/>
      <c r="E234" s="101"/>
      <c r="F234" s="102"/>
      <c r="G234" s="102"/>
      <c r="H234" s="103"/>
    </row>
    <row r="235">
      <c r="A235" s="86"/>
      <c r="B235" s="87"/>
      <c r="C235" s="87"/>
      <c r="D235" s="87"/>
      <c r="E235" s="87"/>
      <c r="F235" s="88"/>
      <c r="G235" s="88"/>
      <c r="H235" s="87"/>
    </row>
    <row r="236">
      <c r="A236" s="90"/>
      <c r="B236" s="87"/>
      <c r="C236" s="87"/>
      <c r="D236" s="87"/>
      <c r="E236" s="87"/>
      <c r="F236" s="88"/>
      <c r="G236" s="88"/>
      <c r="H236" s="87"/>
    </row>
    <row r="237">
      <c r="A237" s="114"/>
      <c r="B237" s="114"/>
      <c r="C237" s="94"/>
      <c r="D237" s="94"/>
      <c r="E237" s="94"/>
      <c r="F237" s="95"/>
      <c r="G237" s="95"/>
      <c r="H237" s="115"/>
    </row>
    <row r="238">
      <c r="A238" s="96"/>
      <c r="B238" s="82"/>
      <c r="C238" s="82"/>
      <c r="D238" s="82"/>
      <c r="E238" s="82"/>
      <c r="F238" s="97"/>
      <c r="G238" s="98"/>
      <c r="H238" s="105"/>
    </row>
    <row r="239">
      <c r="A239" s="96"/>
      <c r="B239" s="82"/>
      <c r="C239" s="82"/>
      <c r="D239" s="82"/>
      <c r="E239" s="82"/>
      <c r="F239" s="97"/>
      <c r="G239" s="98"/>
      <c r="H239" s="105"/>
    </row>
    <row r="240">
      <c r="A240" s="96"/>
      <c r="B240" s="82"/>
      <c r="C240" s="82"/>
      <c r="D240" s="82"/>
      <c r="E240" s="82"/>
      <c r="F240" s="97"/>
      <c r="G240" s="98"/>
      <c r="H240" s="105"/>
    </row>
    <row r="241">
      <c r="A241" s="93"/>
      <c r="H241" s="100"/>
    </row>
    <row r="242">
      <c r="A242" s="101"/>
      <c r="B242" s="101"/>
      <c r="C242" s="101"/>
      <c r="D242" s="101"/>
      <c r="E242" s="101"/>
      <c r="F242" s="102"/>
      <c r="G242" s="102"/>
      <c r="H242" s="103"/>
    </row>
    <row r="243">
      <c r="A243" s="86"/>
      <c r="B243" s="87"/>
      <c r="C243" s="87"/>
      <c r="D243" s="87"/>
      <c r="E243" s="87"/>
      <c r="F243" s="88"/>
      <c r="G243" s="88"/>
      <c r="H243" s="87"/>
    </row>
    <row r="244">
      <c r="A244" s="90"/>
      <c r="B244" s="87"/>
      <c r="C244" s="87"/>
      <c r="D244" s="87"/>
      <c r="E244" s="87"/>
      <c r="F244" s="88"/>
      <c r="G244" s="88"/>
      <c r="H244" s="87"/>
    </row>
    <row r="245">
      <c r="A245" s="114"/>
      <c r="B245" s="114"/>
      <c r="C245" s="94"/>
      <c r="D245" s="94"/>
      <c r="E245" s="94"/>
      <c r="F245" s="95"/>
      <c r="G245" s="95"/>
      <c r="H245" s="115"/>
    </row>
    <row r="246">
      <c r="A246" s="96"/>
      <c r="B246" s="82"/>
      <c r="C246" s="82"/>
      <c r="D246" s="82"/>
      <c r="E246" s="82"/>
      <c r="F246" s="97"/>
      <c r="G246" s="98"/>
      <c r="H246" s="105"/>
    </row>
    <row r="247">
      <c r="A247" s="96"/>
      <c r="B247" s="82"/>
      <c r="C247" s="82"/>
      <c r="D247" s="82"/>
      <c r="E247" s="82"/>
      <c r="F247" s="97"/>
      <c r="G247" s="98"/>
      <c r="H247" s="105"/>
    </row>
    <row r="248">
      <c r="A248" s="96"/>
      <c r="B248" s="82"/>
      <c r="C248" s="82"/>
      <c r="D248" s="82"/>
      <c r="E248" s="82"/>
      <c r="F248" s="97"/>
      <c r="G248" s="98"/>
      <c r="H248" s="105"/>
    </row>
    <row r="249">
      <c r="A249" s="93"/>
      <c r="H249" s="100"/>
    </row>
    <row r="250">
      <c r="A250" s="101"/>
      <c r="B250" s="101"/>
      <c r="C250" s="101"/>
      <c r="D250" s="101"/>
      <c r="E250" s="101"/>
      <c r="F250" s="102"/>
      <c r="G250" s="102"/>
      <c r="H250" s="103"/>
    </row>
    <row r="251">
      <c r="A251" s="86"/>
      <c r="B251" s="87"/>
      <c r="C251" s="87"/>
      <c r="D251" s="87"/>
      <c r="E251" s="87"/>
      <c r="F251" s="88"/>
      <c r="G251" s="88"/>
      <c r="H251" s="87"/>
    </row>
    <row r="252">
      <c r="A252" s="90"/>
      <c r="B252" s="87"/>
      <c r="C252" s="87"/>
      <c r="D252" s="87"/>
      <c r="E252" s="87"/>
      <c r="F252" s="88"/>
      <c r="G252" s="88"/>
      <c r="H252" s="87"/>
    </row>
    <row r="253">
      <c r="A253" s="114"/>
      <c r="B253" s="114"/>
      <c r="C253" s="94"/>
      <c r="D253" s="94"/>
      <c r="E253" s="94"/>
      <c r="F253" s="95"/>
      <c r="G253" s="95"/>
      <c r="H253" s="115"/>
    </row>
    <row r="254">
      <c r="A254" s="96"/>
      <c r="B254" s="82"/>
      <c r="C254" s="82"/>
      <c r="D254" s="82"/>
      <c r="E254" s="82"/>
      <c r="F254" s="97"/>
      <c r="G254" s="98"/>
      <c r="H254" s="105"/>
    </row>
    <row r="255">
      <c r="A255" s="96"/>
      <c r="B255" s="82"/>
      <c r="C255" s="82"/>
      <c r="D255" s="82"/>
      <c r="E255" s="82"/>
      <c r="F255" s="97"/>
      <c r="G255" s="98"/>
      <c r="H255" s="105"/>
    </row>
    <row r="256">
      <c r="A256" s="96"/>
      <c r="B256" s="82"/>
      <c r="C256" s="82"/>
      <c r="D256" s="82"/>
      <c r="E256" s="82"/>
      <c r="F256" s="97"/>
      <c r="G256" s="98"/>
      <c r="H256" s="105"/>
    </row>
    <row r="257">
      <c r="A257" s="93"/>
      <c r="H257" s="100"/>
    </row>
    <row r="258">
      <c r="A258" s="101"/>
      <c r="B258" s="101"/>
      <c r="C258" s="101"/>
      <c r="D258" s="101"/>
      <c r="E258" s="101"/>
      <c r="F258" s="102"/>
      <c r="G258" s="102"/>
      <c r="H258" s="103"/>
    </row>
    <row r="259">
      <c r="A259" s="86"/>
      <c r="B259" s="87"/>
      <c r="C259" s="87"/>
      <c r="D259" s="87"/>
      <c r="E259" s="87"/>
      <c r="F259" s="88"/>
      <c r="G259" s="88"/>
      <c r="H259" s="87"/>
    </row>
    <row r="260">
      <c r="A260" s="90"/>
      <c r="B260" s="87"/>
      <c r="C260" s="87"/>
      <c r="D260" s="87"/>
      <c r="E260" s="87"/>
      <c r="F260" s="88"/>
      <c r="G260" s="88"/>
      <c r="H260" s="87"/>
    </row>
    <row r="261">
      <c r="A261" s="114"/>
      <c r="B261" s="114"/>
      <c r="C261" s="94"/>
      <c r="D261" s="94"/>
      <c r="E261" s="94"/>
      <c r="F261" s="95"/>
      <c r="G261" s="95"/>
      <c r="H261" s="115"/>
    </row>
    <row r="262">
      <c r="A262" s="96"/>
      <c r="B262" s="82"/>
      <c r="C262" s="82"/>
      <c r="D262" s="82"/>
      <c r="E262" s="82"/>
      <c r="F262" s="97"/>
      <c r="G262" s="98"/>
      <c r="H262" s="105"/>
    </row>
    <row r="263">
      <c r="A263" s="96"/>
      <c r="B263" s="82"/>
      <c r="C263" s="82"/>
      <c r="D263" s="82"/>
      <c r="E263" s="82"/>
      <c r="F263" s="97"/>
      <c r="G263" s="98"/>
      <c r="H263" s="105"/>
    </row>
    <row r="264">
      <c r="A264" s="96"/>
      <c r="B264" s="82"/>
      <c r="C264" s="82"/>
      <c r="D264" s="82"/>
      <c r="E264" s="82"/>
      <c r="F264" s="97"/>
      <c r="G264" s="98"/>
      <c r="H264" s="105"/>
    </row>
    <row r="265">
      <c r="A265" s="93"/>
      <c r="H265" s="100"/>
    </row>
    <row r="266">
      <c r="A266" s="101"/>
      <c r="B266" s="101"/>
      <c r="C266" s="101"/>
      <c r="D266" s="101"/>
      <c r="E266" s="101"/>
      <c r="F266" s="102"/>
      <c r="G266" s="102"/>
      <c r="H266" s="103"/>
    </row>
    <row r="267">
      <c r="A267" s="86"/>
      <c r="B267" s="87"/>
      <c r="C267" s="87"/>
      <c r="D267" s="87"/>
      <c r="E267" s="87"/>
      <c r="F267" s="88"/>
      <c r="G267" s="88"/>
      <c r="H267" s="87"/>
    </row>
    <row r="268">
      <c r="A268" s="90"/>
      <c r="B268" s="87"/>
      <c r="C268" s="87"/>
      <c r="D268" s="87"/>
      <c r="E268" s="87"/>
      <c r="F268" s="88"/>
      <c r="G268" s="88"/>
      <c r="H268" s="87"/>
    </row>
    <row r="269">
      <c r="A269" s="114"/>
      <c r="B269" s="114"/>
      <c r="C269" s="94"/>
      <c r="D269" s="94"/>
      <c r="E269" s="94"/>
      <c r="F269" s="95"/>
      <c r="G269" s="95"/>
      <c r="H269" s="115"/>
    </row>
    <row r="270">
      <c r="A270" s="96"/>
      <c r="B270" s="82"/>
      <c r="C270" s="82"/>
      <c r="D270" s="82"/>
      <c r="E270" s="82"/>
      <c r="F270" s="97"/>
      <c r="G270" s="98"/>
      <c r="H270" s="105"/>
    </row>
    <row r="271">
      <c r="A271" s="96"/>
      <c r="B271" s="82"/>
      <c r="C271" s="82"/>
      <c r="D271" s="82"/>
      <c r="E271" s="82"/>
      <c r="F271" s="97"/>
      <c r="G271" s="98"/>
      <c r="H271" s="105"/>
    </row>
    <row r="272">
      <c r="A272" s="96"/>
      <c r="B272" s="82"/>
      <c r="C272" s="82"/>
      <c r="D272" s="82"/>
      <c r="E272" s="82"/>
      <c r="F272" s="97"/>
      <c r="G272" s="98"/>
      <c r="H272" s="105"/>
    </row>
    <row r="273">
      <c r="A273" s="93"/>
      <c r="H273" s="100"/>
    </row>
    <row r="274">
      <c r="A274" s="101"/>
      <c r="B274" s="101"/>
      <c r="C274" s="101"/>
      <c r="D274" s="101"/>
      <c r="E274" s="101"/>
      <c r="F274" s="102"/>
      <c r="G274" s="102"/>
      <c r="H274" s="103"/>
    </row>
    <row r="275">
      <c r="A275" s="85"/>
    </row>
    <row r="276">
      <c r="A276" s="86"/>
      <c r="B276" s="87"/>
      <c r="C276" s="87"/>
      <c r="D276" s="87"/>
      <c r="E276" s="87"/>
      <c r="F276" s="88"/>
      <c r="G276" s="88"/>
      <c r="H276" s="87"/>
    </row>
    <row r="277">
      <c r="A277" s="90"/>
      <c r="B277" s="87"/>
      <c r="C277" s="87"/>
      <c r="D277" s="87"/>
      <c r="E277" s="87"/>
      <c r="F277" s="88"/>
      <c r="G277" s="88"/>
      <c r="H277" s="87"/>
    </row>
    <row r="278">
      <c r="A278" s="93"/>
      <c r="B278" s="93"/>
      <c r="C278" s="94"/>
      <c r="D278" s="94"/>
      <c r="E278" s="94"/>
      <c r="F278" s="95"/>
      <c r="G278" s="95"/>
      <c r="H278" s="94"/>
    </row>
    <row r="279">
      <c r="A279" s="96"/>
      <c r="B279" s="82"/>
      <c r="C279" s="82"/>
      <c r="D279" s="82"/>
      <c r="E279" s="82"/>
      <c r="F279" s="99"/>
      <c r="G279" s="98"/>
      <c r="H279" s="96"/>
    </row>
    <row r="280">
      <c r="A280" s="96"/>
      <c r="B280" s="82"/>
      <c r="C280" s="82"/>
      <c r="D280" s="82"/>
      <c r="E280" s="82"/>
      <c r="F280" s="97"/>
      <c r="G280" s="98"/>
      <c r="H280" s="96"/>
    </row>
    <row r="281">
      <c r="A281" s="96"/>
      <c r="B281" s="82"/>
      <c r="C281" s="82"/>
      <c r="D281" s="82"/>
      <c r="E281" s="82"/>
      <c r="F281" s="98"/>
      <c r="G281" s="98"/>
      <c r="H281" s="96"/>
    </row>
    <row r="282">
      <c r="A282" s="96"/>
      <c r="B282" s="82"/>
      <c r="C282" s="82"/>
      <c r="D282" s="82"/>
      <c r="E282" s="82"/>
      <c r="F282" s="97"/>
      <c r="G282" s="98"/>
      <c r="H282" s="105"/>
    </row>
    <row r="283">
      <c r="A283" s="96"/>
      <c r="B283" s="82"/>
      <c r="C283" s="82"/>
      <c r="D283" s="82"/>
      <c r="E283" s="82"/>
      <c r="F283" s="99"/>
      <c r="G283" s="98"/>
      <c r="H283" s="96"/>
    </row>
    <row r="284">
      <c r="A284" s="114"/>
      <c r="H284" s="100"/>
    </row>
    <row r="285">
      <c r="A285" s="116" t="s">
        <v>54</v>
      </c>
      <c r="B285" s="9"/>
      <c r="C285" s="10"/>
      <c r="D285" s="101"/>
      <c r="E285" s="101"/>
      <c r="F285" s="102"/>
      <c r="G285" s="102"/>
      <c r="H285" s="103"/>
    </row>
    <row r="286">
      <c r="A286" s="11"/>
      <c r="B286" s="12"/>
      <c r="C286" s="13"/>
      <c r="D286" s="87"/>
      <c r="E286" s="87"/>
      <c r="F286" s="88"/>
      <c r="G286" s="88"/>
      <c r="H286" s="87"/>
    </row>
    <row r="287">
      <c r="A287" s="117" t="s">
        <v>55</v>
      </c>
      <c r="B287" s="39"/>
      <c r="C287" s="118" t="s">
        <v>56</v>
      </c>
      <c r="D287" s="94"/>
      <c r="E287" s="94"/>
      <c r="F287" s="95"/>
      <c r="G287" s="95"/>
      <c r="H287" s="94"/>
    </row>
    <row r="288">
      <c r="A288" s="117" t="s">
        <v>57</v>
      </c>
      <c r="B288" s="39"/>
      <c r="C288" s="118" t="s">
        <v>58</v>
      </c>
      <c r="D288" s="82"/>
      <c r="E288" s="82"/>
      <c r="F288" s="97"/>
      <c r="G288" s="98"/>
      <c r="H288" s="96"/>
    </row>
    <row r="289">
      <c r="A289" s="117" t="s">
        <v>59</v>
      </c>
      <c r="B289" s="39"/>
      <c r="C289" s="118" t="s">
        <v>60</v>
      </c>
      <c r="D289" s="82"/>
      <c r="E289" s="82"/>
      <c r="F289" s="98"/>
      <c r="G289" s="98"/>
      <c r="H289" s="96"/>
    </row>
    <row r="290">
      <c r="A290" s="96"/>
      <c r="B290" s="82"/>
      <c r="C290" s="82"/>
      <c r="D290" s="82"/>
      <c r="E290" s="82"/>
      <c r="F290" s="97"/>
      <c r="G290" s="98"/>
      <c r="H290" s="105"/>
    </row>
    <row r="291">
      <c r="A291" s="96"/>
      <c r="B291" s="82"/>
      <c r="C291" s="82"/>
      <c r="D291" s="82"/>
      <c r="E291" s="82"/>
      <c r="F291" s="99"/>
      <c r="G291" s="98"/>
      <c r="H291" s="96"/>
    </row>
    <row r="292">
      <c r="A292" s="114"/>
      <c r="H292" s="100"/>
    </row>
    <row r="293">
      <c r="A293" s="101"/>
      <c r="B293" s="101"/>
      <c r="C293" s="101"/>
      <c r="D293" s="101"/>
      <c r="E293" s="101"/>
      <c r="F293" s="102"/>
      <c r="G293" s="102"/>
      <c r="H293" s="103"/>
    </row>
    <row r="294">
      <c r="A294" s="86"/>
      <c r="B294" s="87"/>
      <c r="C294" s="87"/>
      <c r="D294" s="87"/>
      <c r="E294" s="87"/>
      <c r="F294" s="88"/>
      <c r="G294" s="88"/>
      <c r="H294" s="87"/>
    </row>
    <row r="295">
      <c r="A295" s="90"/>
      <c r="B295" s="87"/>
      <c r="C295" s="87"/>
      <c r="D295" s="87"/>
      <c r="E295" s="87"/>
      <c r="F295" s="88"/>
      <c r="G295" s="88"/>
      <c r="H295" s="87"/>
    </row>
    <row r="296">
      <c r="A296" s="93"/>
      <c r="B296" s="93"/>
      <c r="C296" s="94"/>
      <c r="D296" s="94"/>
      <c r="E296" s="94"/>
      <c r="F296" s="95"/>
      <c r="G296" s="95"/>
      <c r="H296" s="94"/>
    </row>
    <row r="297">
      <c r="A297" s="96"/>
      <c r="B297" s="82"/>
      <c r="C297" s="82"/>
      <c r="D297" s="82"/>
      <c r="E297" s="82"/>
      <c r="F297" s="97"/>
      <c r="G297" s="98"/>
      <c r="H297" s="96"/>
    </row>
    <row r="298">
      <c r="A298" s="96"/>
      <c r="B298" s="82"/>
      <c r="C298" s="82"/>
      <c r="D298" s="82"/>
      <c r="E298" s="82"/>
      <c r="F298" s="98"/>
      <c r="G298" s="98"/>
      <c r="H298" s="96"/>
    </row>
    <row r="299">
      <c r="A299" s="96"/>
      <c r="B299" s="82"/>
      <c r="C299" s="82"/>
      <c r="D299" s="82"/>
      <c r="E299" s="82"/>
      <c r="F299" s="97"/>
      <c r="G299" s="98"/>
      <c r="H299" s="105"/>
    </row>
    <row r="300">
      <c r="A300" s="96"/>
      <c r="B300" s="82"/>
      <c r="C300" s="82"/>
      <c r="D300" s="82"/>
      <c r="E300" s="82"/>
      <c r="F300" s="99"/>
      <c r="G300" s="98"/>
      <c r="H300" s="96"/>
    </row>
    <row r="301">
      <c r="A301" s="114"/>
      <c r="H301" s="100"/>
    </row>
    <row r="302">
      <c r="A302" s="101"/>
      <c r="B302" s="101"/>
      <c r="C302" s="101"/>
      <c r="D302" s="101"/>
      <c r="E302" s="101"/>
      <c r="F302" s="102"/>
      <c r="G302" s="102"/>
      <c r="H302" s="103"/>
    </row>
    <row r="303">
      <c r="A303" s="86"/>
      <c r="B303" s="87"/>
      <c r="C303" s="87"/>
      <c r="D303" s="87"/>
      <c r="E303" s="87"/>
      <c r="F303" s="88"/>
      <c r="G303" s="88"/>
      <c r="H303" s="87"/>
    </row>
    <row r="304">
      <c r="A304" s="90"/>
      <c r="B304" s="87"/>
      <c r="C304" s="87"/>
      <c r="D304" s="87"/>
      <c r="E304" s="87"/>
      <c r="F304" s="88"/>
      <c r="G304" s="88"/>
      <c r="H304" s="87"/>
    </row>
    <row r="305">
      <c r="A305" s="93"/>
      <c r="B305" s="93"/>
      <c r="C305" s="94"/>
      <c r="D305" s="94"/>
      <c r="E305" s="94"/>
      <c r="F305" s="95"/>
      <c r="G305" s="95"/>
      <c r="H305" s="94"/>
    </row>
    <row r="306">
      <c r="A306" s="96"/>
      <c r="B306" s="82"/>
      <c r="C306" s="82"/>
      <c r="D306" s="82"/>
      <c r="E306" s="82"/>
      <c r="F306" s="97"/>
      <c r="G306" s="98"/>
      <c r="H306" s="96"/>
    </row>
    <row r="307">
      <c r="A307" s="96"/>
      <c r="B307" s="82"/>
      <c r="C307" s="82"/>
      <c r="D307" s="82"/>
      <c r="E307" s="82"/>
      <c r="F307" s="98"/>
      <c r="G307" s="98"/>
      <c r="H307" s="96"/>
    </row>
    <row r="308">
      <c r="A308" s="96"/>
      <c r="B308" s="82"/>
      <c r="C308" s="82"/>
      <c r="D308" s="82"/>
      <c r="E308" s="82"/>
      <c r="F308" s="97"/>
      <c r="G308" s="98"/>
      <c r="H308" s="105"/>
    </row>
    <row r="309">
      <c r="A309" s="96"/>
      <c r="B309" s="82"/>
      <c r="C309" s="82"/>
      <c r="D309" s="82"/>
      <c r="E309" s="82"/>
      <c r="F309" s="99"/>
      <c r="G309" s="98"/>
      <c r="H309" s="96"/>
    </row>
    <row r="310">
      <c r="A310" s="114"/>
      <c r="H310" s="100"/>
    </row>
    <row r="311">
      <c r="A311" s="101"/>
      <c r="B311" s="101"/>
      <c r="C311" s="101"/>
      <c r="D311" s="101"/>
      <c r="E311" s="101"/>
      <c r="F311" s="102"/>
      <c r="G311" s="102"/>
      <c r="H311" s="103"/>
    </row>
    <row r="312">
      <c r="A312" s="86"/>
      <c r="B312" s="87"/>
      <c r="C312" s="87"/>
      <c r="D312" s="87"/>
      <c r="E312" s="87"/>
      <c r="F312" s="88"/>
      <c r="G312" s="88"/>
      <c r="H312" s="87"/>
    </row>
    <row r="313">
      <c r="A313" s="90"/>
      <c r="B313" s="87"/>
      <c r="C313" s="87"/>
      <c r="D313" s="87"/>
      <c r="E313" s="87"/>
      <c r="F313" s="88"/>
      <c r="G313" s="88"/>
      <c r="H313" s="87"/>
    </row>
    <row r="314">
      <c r="A314" s="93"/>
      <c r="B314" s="93"/>
      <c r="C314" s="94"/>
      <c r="D314" s="94"/>
      <c r="E314" s="94"/>
      <c r="F314" s="95"/>
      <c r="G314" s="95"/>
      <c r="H314" s="94"/>
    </row>
    <row r="315">
      <c r="A315" s="96"/>
      <c r="B315" s="82"/>
      <c r="C315" s="82"/>
      <c r="D315" s="82"/>
      <c r="E315" s="82"/>
      <c r="F315" s="97"/>
      <c r="G315" s="98"/>
      <c r="H315" s="96"/>
    </row>
    <row r="316">
      <c r="A316" s="96"/>
      <c r="B316" s="82"/>
      <c r="C316" s="82"/>
      <c r="D316" s="82"/>
      <c r="E316" s="82"/>
      <c r="F316" s="98"/>
      <c r="G316" s="98"/>
      <c r="H316" s="96"/>
    </row>
    <row r="317">
      <c r="A317" s="96"/>
      <c r="B317" s="82"/>
      <c r="C317" s="82"/>
      <c r="D317" s="82"/>
      <c r="E317" s="82"/>
      <c r="F317" s="97"/>
      <c r="G317" s="98"/>
      <c r="H317" s="105"/>
    </row>
    <row r="318">
      <c r="A318" s="96"/>
      <c r="B318" s="82"/>
      <c r="C318" s="82"/>
      <c r="D318" s="82"/>
      <c r="E318" s="82"/>
      <c r="F318" s="99"/>
      <c r="G318" s="98"/>
      <c r="H318" s="96"/>
    </row>
    <row r="319">
      <c r="A319" s="114"/>
      <c r="H319" s="100"/>
    </row>
    <row r="320">
      <c r="A320" s="101"/>
      <c r="B320" s="101"/>
      <c r="C320" s="101"/>
      <c r="D320" s="101"/>
      <c r="E320" s="101"/>
      <c r="F320" s="102"/>
      <c r="G320" s="102"/>
      <c r="H320" s="103"/>
    </row>
    <row r="321">
      <c r="A321" s="86"/>
      <c r="B321" s="87"/>
      <c r="C321" s="87"/>
      <c r="D321" s="87"/>
      <c r="E321" s="87"/>
      <c r="F321" s="88"/>
      <c r="G321" s="88"/>
      <c r="H321" s="87"/>
    </row>
    <row r="322">
      <c r="A322" s="90"/>
      <c r="B322" s="87"/>
      <c r="C322" s="87"/>
      <c r="D322" s="87"/>
      <c r="E322" s="87"/>
      <c r="F322" s="88"/>
      <c r="G322" s="88"/>
      <c r="H322" s="87"/>
    </row>
    <row r="323">
      <c r="A323" s="93"/>
      <c r="B323" s="93"/>
      <c r="C323" s="94"/>
      <c r="D323" s="94"/>
      <c r="E323" s="94"/>
      <c r="F323" s="95"/>
      <c r="G323" s="95"/>
      <c r="H323" s="94"/>
    </row>
    <row r="324">
      <c r="A324" s="96"/>
      <c r="B324" s="82"/>
      <c r="C324" s="82"/>
      <c r="D324" s="82"/>
      <c r="E324" s="82"/>
      <c r="F324" s="97"/>
      <c r="G324" s="98"/>
      <c r="H324" s="96"/>
    </row>
    <row r="325">
      <c r="A325" s="96"/>
      <c r="B325" s="82"/>
      <c r="C325" s="82"/>
      <c r="D325" s="82"/>
      <c r="E325" s="82"/>
      <c r="F325" s="98"/>
      <c r="G325" s="98"/>
      <c r="H325" s="96"/>
    </row>
    <row r="326">
      <c r="A326" s="96"/>
      <c r="B326" s="82"/>
      <c r="C326" s="82"/>
      <c r="D326" s="82"/>
      <c r="E326" s="82"/>
      <c r="F326" s="97"/>
      <c r="G326" s="98"/>
      <c r="H326" s="105"/>
    </row>
    <row r="327">
      <c r="A327" s="96"/>
      <c r="B327" s="82"/>
      <c r="C327" s="82"/>
      <c r="D327" s="82"/>
      <c r="E327" s="82"/>
      <c r="F327" s="99"/>
      <c r="G327" s="98"/>
      <c r="H327" s="96"/>
    </row>
    <row r="328">
      <c r="A328" s="114"/>
      <c r="H328" s="100"/>
    </row>
    <row r="329">
      <c r="A329" s="101"/>
      <c r="B329" s="101"/>
      <c r="C329" s="101"/>
      <c r="D329" s="101"/>
      <c r="E329" s="101"/>
      <c r="F329" s="102"/>
      <c r="G329" s="102"/>
      <c r="H329" s="103"/>
    </row>
    <row r="330">
      <c r="A330" s="86"/>
      <c r="B330" s="87"/>
      <c r="C330" s="87"/>
      <c r="D330" s="87"/>
      <c r="E330" s="87"/>
      <c r="F330" s="88"/>
      <c r="G330" s="88"/>
      <c r="H330" s="87"/>
    </row>
    <row r="331">
      <c r="A331" s="90"/>
      <c r="B331" s="87"/>
      <c r="C331" s="87"/>
      <c r="D331" s="87"/>
      <c r="E331" s="87"/>
      <c r="F331" s="88"/>
      <c r="G331" s="88"/>
      <c r="H331" s="87"/>
    </row>
    <row r="332">
      <c r="A332" s="93"/>
      <c r="B332" s="93"/>
      <c r="C332" s="94"/>
      <c r="D332" s="94"/>
      <c r="E332" s="94"/>
      <c r="F332" s="95"/>
      <c r="G332" s="95"/>
      <c r="H332" s="94"/>
    </row>
    <row r="333">
      <c r="A333" s="96"/>
      <c r="B333" s="82"/>
      <c r="C333" s="82"/>
      <c r="D333" s="82"/>
      <c r="E333" s="82"/>
      <c r="F333" s="97"/>
      <c r="G333" s="98"/>
      <c r="H333" s="96"/>
    </row>
    <row r="334">
      <c r="A334" s="96"/>
      <c r="B334" s="82"/>
      <c r="C334" s="82"/>
      <c r="D334" s="82"/>
      <c r="E334" s="82"/>
      <c r="F334" s="98"/>
      <c r="G334" s="98"/>
      <c r="H334" s="96"/>
    </row>
    <row r="335">
      <c r="A335" s="96"/>
      <c r="B335" s="82"/>
      <c r="C335" s="82"/>
      <c r="D335" s="82"/>
      <c r="E335" s="82"/>
      <c r="F335" s="97"/>
      <c r="G335" s="98"/>
      <c r="H335" s="105"/>
    </row>
    <row r="336">
      <c r="A336" s="96"/>
      <c r="B336" s="82"/>
      <c r="C336" s="82"/>
      <c r="D336" s="82"/>
      <c r="E336" s="82"/>
      <c r="F336" s="99"/>
      <c r="G336" s="98"/>
      <c r="H336" s="96"/>
    </row>
    <row r="337">
      <c r="A337" s="114"/>
      <c r="H337" s="100"/>
    </row>
    <row r="338">
      <c r="A338" s="101"/>
      <c r="B338" s="101"/>
      <c r="C338" s="101"/>
      <c r="D338" s="101"/>
      <c r="E338" s="101"/>
      <c r="F338" s="102"/>
      <c r="G338" s="102"/>
      <c r="H338" s="103"/>
    </row>
    <row r="339">
      <c r="A339" s="86"/>
      <c r="B339" s="87"/>
      <c r="C339" s="87"/>
      <c r="D339" s="87"/>
      <c r="E339" s="87"/>
      <c r="F339" s="88"/>
      <c r="G339" s="88"/>
      <c r="H339" s="87"/>
    </row>
    <row r="340">
      <c r="A340" s="90"/>
      <c r="B340" s="87"/>
      <c r="C340" s="87"/>
      <c r="D340" s="87"/>
      <c r="E340" s="87"/>
      <c r="F340" s="88"/>
      <c r="G340" s="88"/>
      <c r="H340" s="87"/>
    </row>
    <row r="341">
      <c r="A341" s="93"/>
      <c r="B341" s="93"/>
      <c r="C341" s="94"/>
      <c r="D341" s="94"/>
      <c r="E341" s="94"/>
      <c r="F341" s="95"/>
      <c r="G341" s="95"/>
      <c r="H341" s="94"/>
    </row>
    <row r="342">
      <c r="A342" s="96"/>
      <c r="B342" s="82"/>
      <c r="C342" s="82"/>
      <c r="D342" s="82"/>
      <c r="E342" s="82"/>
      <c r="F342" s="97"/>
      <c r="G342" s="98"/>
      <c r="H342" s="96"/>
    </row>
    <row r="343">
      <c r="A343" s="96"/>
      <c r="B343" s="82"/>
      <c r="C343" s="82"/>
      <c r="D343" s="82"/>
      <c r="E343" s="82"/>
      <c r="F343" s="98"/>
      <c r="G343" s="98"/>
      <c r="H343" s="96"/>
    </row>
    <row r="344">
      <c r="A344" s="96"/>
      <c r="B344" s="82"/>
      <c r="C344" s="82"/>
      <c r="D344" s="82"/>
      <c r="E344" s="82"/>
      <c r="F344" s="97"/>
      <c r="G344" s="98"/>
      <c r="H344" s="105"/>
    </row>
    <row r="345">
      <c r="A345" s="96"/>
      <c r="B345" s="82"/>
      <c r="C345" s="82"/>
      <c r="D345" s="82"/>
      <c r="E345" s="82"/>
      <c r="F345" s="99"/>
      <c r="G345" s="98"/>
      <c r="H345" s="96"/>
    </row>
    <row r="346">
      <c r="A346" s="114"/>
      <c r="H346" s="100"/>
    </row>
    <row r="347">
      <c r="A347" s="101"/>
      <c r="B347" s="101"/>
      <c r="C347" s="101"/>
      <c r="D347" s="101"/>
      <c r="E347" s="101"/>
      <c r="F347" s="102"/>
      <c r="G347" s="102"/>
      <c r="H347" s="103"/>
    </row>
    <row r="348">
      <c r="A348" s="86"/>
      <c r="B348" s="87"/>
      <c r="C348" s="87"/>
      <c r="D348" s="87"/>
      <c r="E348" s="87"/>
      <c r="F348" s="88"/>
      <c r="G348" s="88"/>
      <c r="H348" s="87"/>
    </row>
    <row r="349">
      <c r="A349" s="90"/>
      <c r="B349" s="87"/>
      <c r="C349" s="87"/>
      <c r="D349" s="87"/>
      <c r="E349" s="87"/>
      <c r="F349" s="88"/>
      <c r="G349" s="88"/>
      <c r="H349" s="87"/>
    </row>
    <row r="350">
      <c r="A350" s="93"/>
      <c r="B350" s="93"/>
      <c r="C350" s="94"/>
      <c r="D350" s="94"/>
      <c r="E350" s="94"/>
      <c r="F350" s="95"/>
      <c r="G350" s="95"/>
      <c r="H350" s="94"/>
    </row>
    <row r="351">
      <c r="A351" s="96"/>
      <c r="B351" s="82"/>
      <c r="C351" s="82"/>
      <c r="D351" s="82"/>
      <c r="E351" s="82"/>
      <c r="F351" s="97"/>
      <c r="G351" s="98"/>
      <c r="H351" s="96"/>
    </row>
    <row r="352">
      <c r="A352" s="96"/>
      <c r="B352" s="82"/>
      <c r="C352" s="82"/>
      <c r="D352" s="82"/>
      <c r="E352" s="82"/>
      <c r="F352" s="98"/>
      <c r="G352" s="98"/>
      <c r="H352" s="96"/>
    </row>
    <row r="353">
      <c r="A353" s="96"/>
      <c r="B353" s="82"/>
      <c r="C353" s="82"/>
      <c r="D353" s="82"/>
      <c r="E353" s="82"/>
      <c r="F353" s="97"/>
      <c r="G353" s="98"/>
      <c r="H353" s="105"/>
    </row>
    <row r="354">
      <c r="A354" s="96"/>
      <c r="B354" s="82"/>
      <c r="C354" s="82"/>
      <c r="D354" s="82"/>
      <c r="E354" s="82"/>
      <c r="F354" s="99"/>
      <c r="G354" s="98"/>
      <c r="H354" s="96"/>
    </row>
    <row r="355">
      <c r="A355" s="114"/>
      <c r="H355" s="100"/>
    </row>
    <row r="356">
      <c r="A356" s="101"/>
      <c r="B356" s="101"/>
      <c r="C356" s="101"/>
      <c r="D356" s="101"/>
      <c r="E356" s="101"/>
      <c r="F356" s="102"/>
      <c r="G356" s="102"/>
      <c r="H356" s="103"/>
    </row>
    <row r="357">
      <c r="A357" s="86"/>
      <c r="B357" s="87"/>
      <c r="C357" s="87"/>
      <c r="D357" s="87"/>
      <c r="E357" s="87"/>
      <c r="F357" s="88"/>
      <c r="G357" s="88"/>
      <c r="H357" s="87"/>
    </row>
    <row r="358">
      <c r="A358" s="90"/>
      <c r="B358" s="87"/>
      <c r="C358" s="87"/>
      <c r="D358" s="87"/>
      <c r="E358" s="87"/>
      <c r="F358" s="88"/>
      <c r="G358" s="88"/>
      <c r="H358" s="87"/>
    </row>
    <row r="359">
      <c r="A359" s="93"/>
      <c r="B359" s="93"/>
      <c r="C359" s="94"/>
      <c r="D359" s="94"/>
      <c r="E359" s="94"/>
      <c r="F359" s="95"/>
      <c r="G359" s="95"/>
      <c r="H359" s="94"/>
    </row>
    <row r="360">
      <c r="A360" s="96"/>
      <c r="B360" s="82"/>
      <c r="C360" s="82"/>
      <c r="D360" s="82"/>
      <c r="E360" s="82"/>
      <c r="F360" s="97"/>
      <c r="G360" s="98"/>
      <c r="H360" s="96"/>
    </row>
    <row r="361">
      <c r="A361" s="96"/>
      <c r="B361" s="82"/>
      <c r="C361" s="82"/>
      <c r="D361" s="82"/>
      <c r="E361" s="82"/>
      <c r="F361" s="98"/>
      <c r="G361" s="98"/>
      <c r="H361" s="96"/>
    </row>
    <row r="362">
      <c r="A362" s="96"/>
      <c r="B362" s="82"/>
      <c r="C362" s="82"/>
      <c r="D362" s="82"/>
      <c r="E362" s="82"/>
      <c r="F362" s="97"/>
      <c r="G362" s="98"/>
      <c r="H362" s="105"/>
    </row>
    <row r="363">
      <c r="A363" s="96"/>
      <c r="B363" s="82"/>
      <c r="C363" s="82"/>
      <c r="D363" s="82"/>
      <c r="E363" s="82"/>
      <c r="F363" s="99"/>
      <c r="G363" s="98"/>
      <c r="H363" s="96"/>
    </row>
    <row r="364">
      <c r="A364" s="114"/>
      <c r="H364" s="100"/>
    </row>
    <row r="365">
      <c r="A365" s="101"/>
      <c r="B365" s="101"/>
      <c r="C365" s="101"/>
      <c r="D365" s="101"/>
      <c r="E365" s="101"/>
      <c r="F365" s="102"/>
      <c r="G365" s="102"/>
      <c r="H365" s="103"/>
    </row>
    <row r="366">
      <c r="A366" s="85"/>
    </row>
    <row r="367">
      <c r="A367" s="86"/>
      <c r="B367" s="87"/>
      <c r="C367" s="87"/>
      <c r="D367" s="87"/>
      <c r="E367" s="87"/>
      <c r="F367" s="88"/>
      <c r="G367" s="88"/>
      <c r="H367" s="87"/>
    </row>
    <row r="368">
      <c r="A368" s="90"/>
      <c r="B368" s="87"/>
      <c r="C368" s="87"/>
      <c r="D368" s="87"/>
      <c r="E368" s="87"/>
      <c r="F368" s="88"/>
      <c r="G368" s="88"/>
      <c r="H368" s="87"/>
    </row>
    <row r="369">
      <c r="A369" s="93"/>
      <c r="B369" s="93"/>
      <c r="C369" s="94"/>
      <c r="D369" s="94"/>
      <c r="E369" s="94"/>
      <c r="F369" s="95"/>
      <c r="G369" s="95"/>
      <c r="H369" s="94"/>
    </row>
    <row r="370">
      <c r="A370" s="96"/>
      <c r="B370" s="82"/>
      <c r="C370" s="82"/>
      <c r="D370" s="82"/>
      <c r="E370" s="82"/>
      <c r="F370" s="98"/>
      <c r="G370" s="98"/>
      <c r="H370" s="96"/>
    </row>
    <row r="371">
      <c r="A371" s="96"/>
      <c r="B371" s="82"/>
      <c r="C371" s="82"/>
      <c r="D371" s="82"/>
      <c r="E371" s="82"/>
      <c r="F371" s="98"/>
      <c r="G371" s="98"/>
      <c r="H371" s="96"/>
    </row>
    <row r="372">
      <c r="A372" s="96"/>
      <c r="B372" s="82"/>
      <c r="C372" s="82"/>
      <c r="D372" s="82"/>
      <c r="E372" s="82"/>
      <c r="F372" s="98"/>
      <c r="G372" s="98"/>
      <c r="H372" s="96"/>
    </row>
    <row r="373">
      <c r="A373" s="96"/>
      <c r="B373" s="82"/>
      <c r="C373" s="82"/>
      <c r="D373" s="82"/>
      <c r="E373" s="82"/>
      <c r="F373" s="98"/>
      <c r="G373" s="98"/>
      <c r="H373" s="96"/>
    </row>
    <row r="374">
      <c r="A374" s="93"/>
      <c r="H374" s="100"/>
    </row>
    <row r="375">
      <c r="A375" s="96"/>
      <c r="B375" s="82"/>
      <c r="C375" s="82"/>
      <c r="D375" s="82"/>
      <c r="E375" s="82"/>
      <c r="F375" s="99"/>
      <c r="G375" s="98"/>
      <c r="H375" s="96"/>
    </row>
    <row r="376">
      <c r="A376" s="86"/>
      <c r="B376" s="87"/>
      <c r="C376" s="87"/>
      <c r="D376" s="87"/>
      <c r="E376" s="87"/>
      <c r="F376" s="88"/>
      <c r="G376" s="88"/>
      <c r="H376" s="87"/>
    </row>
    <row r="377">
      <c r="A377" s="90"/>
      <c r="B377" s="87"/>
      <c r="C377" s="87"/>
      <c r="D377" s="87"/>
      <c r="E377" s="87"/>
      <c r="F377" s="88"/>
      <c r="G377" s="88"/>
      <c r="H377" s="87"/>
    </row>
    <row r="378">
      <c r="A378" s="93"/>
      <c r="B378" s="93"/>
      <c r="C378" s="94"/>
      <c r="D378" s="94"/>
      <c r="E378" s="94"/>
      <c r="F378" s="95"/>
      <c r="G378" s="95"/>
      <c r="H378" s="94"/>
    </row>
    <row r="379">
      <c r="A379" s="96"/>
      <c r="B379" s="82"/>
      <c r="C379" s="82"/>
      <c r="D379" s="82"/>
      <c r="E379" s="82"/>
      <c r="F379" s="98"/>
      <c r="G379" s="98"/>
      <c r="H379" s="96"/>
    </row>
    <row r="380">
      <c r="A380" s="96"/>
      <c r="B380" s="82"/>
      <c r="C380" s="82"/>
      <c r="D380" s="82"/>
      <c r="E380" s="82"/>
      <c r="F380" s="98"/>
      <c r="G380" s="98"/>
      <c r="H380" s="96"/>
    </row>
    <row r="381">
      <c r="A381" s="96"/>
      <c r="B381" s="82"/>
      <c r="C381" s="82"/>
      <c r="D381" s="82"/>
      <c r="E381" s="82"/>
      <c r="F381" s="98"/>
      <c r="G381" s="98"/>
      <c r="H381" s="96"/>
    </row>
    <row r="382">
      <c r="A382" s="96"/>
      <c r="B382" s="82"/>
      <c r="C382" s="82"/>
      <c r="D382" s="82"/>
      <c r="E382" s="82"/>
      <c r="F382" s="98"/>
      <c r="G382" s="98"/>
      <c r="H382" s="96"/>
    </row>
    <row r="383">
      <c r="A383" s="93"/>
      <c r="H383" s="100"/>
    </row>
    <row r="384">
      <c r="A384" s="101"/>
      <c r="B384" s="101"/>
      <c r="C384" s="101"/>
      <c r="D384" s="101"/>
      <c r="E384" s="101"/>
      <c r="F384" s="101"/>
      <c r="G384" s="102"/>
      <c r="H384" s="103"/>
    </row>
    <row r="385">
      <c r="A385" s="86"/>
      <c r="B385" s="87"/>
      <c r="C385" s="87"/>
      <c r="D385" s="87"/>
      <c r="E385" s="87"/>
      <c r="F385" s="88"/>
      <c r="G385" s="88"/>
      <c r="H385" s="87"/>
    </row>
    <row r="386">
      <c r="A386" s="90"/>
      <c r="B386" s="87"/>
      <c r="C386" s="87"/>
      <c r="D386" s="87"/>
      <c r="E386" s="87"/>
      <c r="F386" s="88"/>
      <c r="G386" s="88"/>
      <c r="H386" s="87"/>
    </row>
    <row r="387">
      <c r="A387" s="93"/>
      <c r="B387" s="93"/>
      <c r="C387" s="94"/>
      <c r="D387" s="94"/>
      <c r="E387" s="94"/>
      <c r="F387" s="95"/>
      <c r="G387" s="95"/>
      <c r="H387" s="94"/>
    </row>
    <row r="388">
      <c r="A388" s="96"/>
      <c r="B388" s="82"/>
      <c r="C388" s="82"/>
      <c r="D388" s="82"/>
      <c r="E388" s="82"/>
      <c r="F388" s="98"/>
      <c r="G388" s="98"/>
      <c r="H388" s="96"/>
    </row>
    <row r="389">
      <c r="A389" s="96"/>
      <c r="B389" s="82"/>
      <c r="C389" s="82"/>
      <c r="D389" s="82"/>
      <c r="E389" s="82"/>
      <c r="F389" s="98"/>
      <c r="G389" s="98"/>
      <c r="H389" s="96"/>
    </row>
    <row r="390">
      <c r="A390" s="96"/>
      <c r="B390" s="82"/>
      <c r="C390" s="82"/>
      <c r="D390" s="82"/>
      <c r="E390" s="82"/>
      <c r="F390" s="98"/>
      <c r="G390" s="98"/>
      <c r="H390" s="96"/>
    </row>
    <row r="391">
      <c r="A391" s="96"/>
      <c r="B391" s="82"/>
      <c r="C391" s="82"/>
      <c r="D391" s="82"/>
      <c r="E391" s="82"/>
      <c r="F391" s="98"/>
      <c r="G391" s="98"/>
      <c r="H391" s="96"/>
    </row>
    <row r="392">
      <c r="A392" s="93"/>
      <c r="H392" s="100"/>
    </row>
    <row r="393">
      <c r="A393" s="93"/>
      <c r="B393" s="93"/>
      <c r="C393" s="93"/>
      <c r="D393" s="93"/>
      <c r="E393" s="93"/>
      <c r="F393" s="93"/>
      <c r="G393" s="119"/>
      <c r="H393" s="100"/>
    </row>
    <row r="394">
      <c r="A394" s="86"/>
      <c r="B394" s="87"/>
      <c r="C394" s="87"/>
      <c r="D394" s="87"/>
      <c r="E394" s="87"/>
      <c r="F394" s="88"/>
      <c r="G394" s="88"/>
      <c r="H394" s="87"/>
    </row>
    <row r="395">
      <c r="A395" s="90"/>
      <c r="B395" s="87"/>
      <c r="C395" s="87"/>
      <c r="D395" s="87"/>
      <c r="E395" s="87"/>
      <c r="F395" s="88"/>
      <c r="G395" s="88"/>
      <c r="H395" s="87"/>
    </row>
    <row r="396">
      <c r="A396" s="93"/>
      <c r="B396" s="93"/>
      <c r="C396" s="94"/>
      <c r="D396" s="94"/>
      <c r="E396" s="94"/>
      <c r="F396" s="95"/>
      <c r="G396" s="95"/>
      <c r="H396" s="94"/>
    </row>
    <row r="397">
      <c r="A397" s="96"/>
      <c r="B397" s="82"/>
      <c r="C397" s="82"/>
      <c r="D397" s="82"/>
      <c r="E397" s="82"/>
      <c r="F397" s="98"/>
      <c r="G397" s="98"/>
      <c r="H397" s="96"/>
    </row>
    <row r="398">
      <c r="A398" s="96"/>
      <c r="B398" s="82"/>
      <c r="C398" s="82"/>
      <c r="D398" s="82"/>
      <c r="E398" s="82"/>
      <c r="F398" s="98"/>
      <c r="G398" s="98"/>
      <c r="H398" s="96"/>
    </row>
    <row r="399">
      <c r="A399" s="96"/>
      <c r="B399" s="82"/>
      <c r="C399" s="82"/>
      <c r="D399" s="82"/>
      <c r="E399" s="82"/>
      <c r="F399" s="98"/>
      <c r="G399" s="98"/>
      <c r="H399" s="96"/>
    </row>
    <row r="400">
      <c r="A400" s="96"/>
      <c r="B400" s="82"/>
      <c r="C400" s="82"/>
      <c r="D400" s="82"/>
      <c r="E400" s="82"/>
      <c r="F400" s="98"/>
      <c r="G400" s="98"/>
      <c r="H400" s="96"/>
    </row>
    <row r="401">
      <c r="A401" s="93"/>
      <c r="H401" s="100"/>
    </row>
    <row r="402">
      <c r="A402" s="101"/>
      <c r="B402" s="101"/>
      <c r="C402" s="101"/>
      <c r="D402" s="101"/>
      <c r="E402" s="101"/>
      <c r="F402" s="101"/>
      <c r="G402" s="102"/>
      <c r="H402" s="103"/>
    </row>
    <row r="403">
      <c r="A403" s="86"/>
      <c r="B403" s="87"/>
      <c r="C403" s="87"/>
      <c r="D403" s="87"/>
      <c r="E403" s="87"/>
      <c r="F403" s="88"/>
      <c r="G403" s="88"/>
      <c r="H403" s="87"/>
    </row>
    <row r="404">
      <c r="A404" s="90"/>
      <c r="B404" s="87"/>
      <c r="C404" s="87"/>
      <c r="D404" s="87"/>
      <c r="E404" s="87"/>
      <c r="F404" s="88"/>
      <c r="G404" s="88"/>
      <c r="H404" s="87"/>
    </row>
    <row r="405">
      <c r="A405" s="93"/>
      <c r="B405" s="93"/>
      <c r="C405" s="94"/>
      <c r="D405" s="94"/>
      <c r="E405" s="94"/>
      <c r="F405" s="95"/>
      <c r="G405" s="95"/>
      <c r="H405" s="94"/>
    </row>
    <row r="406">
      <c r="A406" s="96"/>
      <c r="B406" s="82"/>
      <c r="C406" s="82"/>
      <c r="D406" s="82"/>
      <c r="E406" s="82"/>
      <c r="F406" s="98"/>
      <c r="G406" s="98"/>
      <c r="H406" s="96"/>
    </row>
    <row r="407">
      <c r="A407" s="96"/>
      <c r="B407" s="82"/>
      <c r="C407" s="82"/>
      <c r="D407" s="82"/>
      <c r="E407" s="82"/>
      <c r="F407" s="98"/>
      <c r="G407" s="98"/>
      <c r="H407" s="96"/>
    </row>
    <row r="408">
      <c r="A408" s="96"/>
      <c r="B408" s="82"/>
      <c r="C408" s="82"/>
      <c r="D408" s="82"/>
      <c r="E408" s="82"/>
      <c r="F408" s="98"/>
      <c r="G408" s="98"/>
      <c r="H408" s="96"/>
    </row>
    <row r="409">
      <c r="A409" s="96"/>
      <c r="B409" s="82"/>
      <c r="C409" s="82"/>
      <c r="D409" s="82"/>
      <c r="E409" s="82"/>
      <c r="F409" s="98"/>
      <c r="G409" s="98"/>
      <c r="H409" s="96"/>
    </row>
    <row r="410">
      <c r="A410" s="93"/>
      <c r="H410" s="100"/>
    </row>
    <row r="411">
      <c r="A411" s="101"/>
      <c r="B411" s="101"/>
      <c r="C411" s="101"/>
      <c r="D411" s="101"/>
      <c r="E411" s="101"/>
      <c r="F411" s="101"/>
      <c r="G411" s="102"/>
      <c r="H411" s="103"/>
    </row>
    <row r="412">
      <c r="A412" s="86"/>
      <c r="B412" s="87"/>
      <c r="C412" s="87"/>
      <c r="D412" s="87"/>
      <c r="E412" s="87"/>
      <c r="F412" s="88"/>
      <c r="G412" s="88"/>
      <c r="H412" s="87"/>
    </row>
    <row r="413">
      <c r="A413" s="90"/>
      <c r="B413" s="87"/>
      <c r="C413" s="87"/>
      <c r="D413" s="87"/>
      <c r="E413" s="87"/>
      <c r="F413" s="88"/>
      <c r="G413" s="88"/>
      <c r="H413" s="87"/>
    </row>
    <row r="414">
      <c r="A414" s="93"/>
      <c r="B414" s="93"/>
      <c r="C414" s="94"/>
      <c r="D414" s="94"/>
      <c r="E414" s="94"/>
      <c r="F414" s="95"/>
      <c r="G414" s="95"/>
      <c r="H414" s="94"/>
    </row>
    <row r="415">
      <c r="A415" s="96"/>
      <c r="B415" s="82"/>
      <c r="C415" s="82"/>
      <c r="D415" s="82"/>
      <c r="E415" s="82"/>
      <c r="F415" s="98"/>
      <c r="G415" s="98"/>
      <c r="H415" s="96"/>
    </row>
    <row r="416">
      <c r="A416" s="96"/>
      <c r="B416" s="82"/>
      <c r="C416" s="82"/>
      <c r="D416" s="82"/>
      <c r="E416" s="82"/>
      <c r="F416" s="98"/>
      <c r="G416" s="98"/>
      <c r="H416" s="96"/>
    </row>
    <row r="417">
      <c r="A417" s="96"/>
      <c r="B417" s="82"/>
      <c r="C417" s="82"/>
      <c r="D417" s="82"/>
      <c r="E417" s="82"/>
      <c r="F417" s="98"/>
      <c r="G417" s="98"/>
      <c r="H417" s="96"/>
    </row>
    <row r="418">
      <c r="A418" s="96"/>
      <c r="B418" s="82"/>
      <c r="C418" s="82"/>
      <c r="D418" s="82"/>
      <c r="E418" s="82"/>
      <c r="F418" s="98"/>
      <c r="G418" s="98"/>
      <c r="H418" s="96"/>
    </row>
    <row r="419">
      <c r="A419" s="93"/>
      <c r="H419" s="100"/>
    </row>
    <row r="420">
      <c r="A420" s="101"/>
      <c r="B420" s="101"/>
      <c r="C420" s="101"/>
      <c r="D420" s="101"/>
      <c r="E420" s="101"/>
      <c r="F420" s="101"/>
      <c r="G420" s="102"/>
      <c r="H420" s="103"/>
    </row>
    <row r="421">
      <c r="A421" s="86"/>
      <c r="B421" s="87"/>
      <c r="C421" s="87"/>
      <c r="D421" s="87"/>
      <c r="E421" s="87"/>
      <c r="F421" s="88"/>
      <c r="G421" s="88"/>
      <c r="H421" s="87"/>
    </row>
    <row r="422">
      <c r="A422" s="90"/>
      <c r="B422" s="87"/>
      <c r="C422" s="87"/>
      <c r="D422" s="87"/>
      <c r="E422" s="87"/>
      <c r="F422" s="88"/>
      <c r="G422" s="88"/>
      <c r="H422" s="87"/>
    </row>
    <row r="423">
      <c r="A423" s="93"/>
      <c r="B423" s="93"/>
      <c r="C423" s="94"/>
      <c r="D423" s="94"/>
      <c r="E423" s="94"/>
      <c r="F423" s="95"/>
      <c r="G423" s="95"/>
      <c r="H423" s="94"/>
    </row>
    <row r="424">
      <c r="A424" s="96"/>
      <c r="B424" s="82"/>
      <c r="C424" s="82"/>
      <c r="D424" s="82"/>
      <c r="E424" s="82"/>
      <c r="F424" s="98"/>
      <c r="G424" s="98"/>
      <c r="H424" s="96"/>
    </row>
    <row r="425">
      <c r="A425" s="96"/>
      <c r="B425" s="82"/>
      <c r="C425" s="82"/>
      <c r="D425" s="82"/>
      <c r="E425" s="82"/>
      <c r="F425" s="98"/>
      <c r="G425" s="98"/>
      <c r="H425" s="96"/>
    </row>
    <row r="426">
      <c r="A426" s="96"/>
      <c r="B426" s="82"/>
      <c r="C426" s="82"/>
      <c r="D426" s="82"/>
      <c r="E426" s="82"/>
      <c r="F426" s="98"/>
      <c r="G426" s="98"/>
      <c r="H426" s="96"/>
    </row>
    <row r="427">
      <c r="A427" s="96"/>
      <c r="B427" s="82"/>
      <c r="C427" s="82"/>
      <c r="D427" s="82"/>
      <c r="E427" s="82"/>
      <c r="F427" s="98"/>
      <c r="G427" s="98"/>
      <c r="H427" s="96"/>
    </row>
    <row r="428">
      <c r="A428" s="93"/>
      <c r="H428" s="100"/>
    </row>
    <row r="429">
      <c r="A429" s="101"/>
      <c r="B429" s="101"/>
      <c r="C429" s="101"/>
      <c r="D429" s="101"/>
      <c r="E429" s="101"/>
      <c r="F429" s="101"/>
      <c r="G429" s="102"/>
      <c r="H429" s="103"/>
    </row>
    <row r="430">
      <c r="A430" s="86"/>
      <c r="B430" s="87"/>
      <c r="C430" s="87"/>
      <c r="D430" s="87"/>
      <c r="E430" s="87"/>
      <c r="F430" s="88"/>
      <c r="G430" s="88"/>
      <c r="H430" s="87"/>
    </row>
    <row r="431">
      <c r="A431" s="90"/>
      <c r="B431" s="87"/>
      <c r="C431" s="87"/>
      <c r="D431" s="87"/>
      <c r="E431" s="87"/>
      <c r="F431" s="88"/>
      <c r="G431" s="88"/>
      <c r="H431" s="87"/>
    </row>
    <row r="432">
      <c r="A432" s="93"/>
      <c r="B432" s="93"/>
      <c r="C432" s="94"/>
      <c r="D432" s="94"/>
      <c r="E432" s="94"/>
      <c r="F432" s="95"/>
      <c r="G432" s="95"/>
      <c r="H432" s="94"/>
    </row>
    <row r="433">
      <c r="A433" s="96"/>
      <c r="B433" s="82"/>
      <c r="C433" s="82"/>
      <c r="D433" s="82"/>
      <c r="E433" s="82"/>
      <c r="F433" s="98"/>
      <c r="G433" s="98"/>
      <c r="H433" s="96"/>
    </row>
    <row r="434">
      <c r="A434" s="96"/>
      <c r="B434" s="82"/>
      <c r="C434" s="82"/>
      <c r="D434" s="82"/>
      <c r="E434" s="82"/>
      <c r="F434" s="98"/>
      <c r="G434" s="98"/>
      <c r="H434" s="96"/>
    </row>
    <row r="435">
      <c r="A435" s="96"/>
      <c r="B435" s="82"/>
      <c r="C435" s="82"/>
      <c r="D435" s="82"/>
      <c r="E435" s="82"/>
      <c r="F435" s="98"/>
      <c r="G435" s="98"/>
      <c r="H435" s="96"/>
    </row>
    <row r="436">
      <c r="A436" s="96"/>
      <c r="B436" s="82"/>
      <c r="C436" s="82"/>
      <c r="D436" s="82"/>
      <c r="E436" s="82"/>
      <c r="F436" s="98"/>
      <c r="G436" s="98"/>
      <c r="H436" s="96"/>
    </row>
    <row r="437">
      <c r="A437" s="93"/>
      <c r="H437" s="100"/>
    </row>
    <row r="438">
      <c r="A438" s="101"/>
      <c r="B438" s="101"/>
      <c r="C438" s="101"/>
      <c r="D438" s="101"/>
      <c r="E438" s="101"/>
      <c r="F438" s="101"/>
      <c r="G438" s="102"/>
      <c r="H438" s="103"/>
    </row>
    <row r="439">
      <c r="A439" s="86"/>
      <c r="B439" s="87"/>
      <c r="C439" s="87"/>
      <c r="D439" s="87"/>
      <c r="E439" s="87"/>
      <c r="F439" s="88"/>
      <c r="G439" s="88"/>
      <c r="H439" s="87"/>
    </row>
    <row r="440">
      <c r="A440" s="90"/>
      <c r="B440" s="87"/>
      <c r="C440" s="87"/>
      <c r="D440" s="87"/>
      <c r="E440" s="87"/>
      <c r="F440" s="88"/>
      <c r="G440" s="88"/>
      <c r="H440" s="87"/>
    </row>
    <row r="441">
      <c r="A441" s="93"/>
      <c r="B441" s="93"/>
      <c r="C441" s="94"/>
      <c r="D441" s="94"/>
      <c r="E441" s="94"/>
      <c r="F441" s="95"/>
      <c r="G441" s="95"/>
      <c r="H441" s="94"/>
    </row>
    <row r="442">
      <c r="A442" s="96"/>
      <c r="B442" s="82"/>
      <c r="C442" s="82"/>
      <c r="D442" s="82"/>
      <c r="E442" s="82"/>
      <c r="F442" s="98"/>
      <c r="G442" s="98"/>
      <c r="H442" s="96"/>
    </row>
    <row r="443">
      <c r="A443" s="96"/>
      <c r="B443" s="82"/>
      <c r="C443" s="82"/>
      <c r="D443" s="82"/>
      <c r="E443" s="82"/>
      <c r="F443" s="98"/>
      <c r="G443" s="98"/>
      <c r="H443" s="96"/>
    </row>
    <row r="444">
      <c r="A444" s="96"/>
      <c r="B444" s="82"/>
      <c r="C444" s="82"/>
      <c r="D444" s="82"/>
      <c r="E444" s="82"/>
      <c r="F444" s="98"/>
      <c r="G444" s="98"/>
      <c r="H444" s="96"/>
    </row>
    <row r="445">
      <c r="A445" s="96"/>
      <c r="B445" s="82"/>
      <c r="C445" s="82"/>
      <c r="D445" s="82"/>
      <c r="E445" s="82"/>
      <c r="F445" s="98"/>
      <c r="G445" s="98"/>
      <c r="H445" s="96"/>
    </row>
    <row r="446">
      <c r="A446" s="93"/>
      <c r="H446" s="100"/>
    </row>
    <row r="447">
      <c r="A447" s="101"/>
      <c r="B447" s="101"/>
      <c r="C447" s="101"/>
      <c r="D447" s="101"/>
      <c r="E447" s="101"/>
      <c r="F447" s="101"/>
      <c r="G447" s="102"/>
      <c r="H447" s="103"/>
    </row>
    <row r="448">
      <c r="A448" s="86"/>
      <c r="B448" s="87"/>
      <c r="C448" s="87"/>
      <c r="D448" s="87"/>
      <c r="E448" s="87"/>
      <c r="F448" s="88"/>
      <c r="G448" s="88"/>
      <c r="H448" s="87"/>
    </row>
    <row r="449">
      <c r="A449" s="90"/>
      <c r="B449" s="87"/>
      <c r="C449" s="87"/>
      <c r="D449" s="87"/>
      <c r="E449" s="87"/>
      <c r="F449" s="88"/>
      <c r="G449" s="88"/>
      <c r="H449" s="87"/>
    </row>
    <row r="450">
      <c r="A450" s="93"/>
      <c r="B450" s="93"/>
      <c r="C450" s="94"/>
      <c r="D450" s="94"/>
      <c r="E450" s="94"/>
      <c r="F450" s="95"/>
      <c r="G450" s="95"/>
      <c r="H450" s="94"/>
    </row>
    <row r="451">
      <c r="A451" s="96"/>
      <c r="B451" s="82"/>
      <c r="C451" s="82"/>
      <c r="D451" s="82"/>
      <c r="E451" s="82"/>
      <c r="F451" s="98"/>
      <c r="G451" s="98"/>
      <c r="H451" s="96"/>
    </row>
    <row r="452">
      <c r="A452" s="96"/>
      <c r="B452" s="82"/>
      <c r="C452" s="82"/>
      <c r="D452" s="82"/>
      <c r="E452" s="82"/>
      <c r="F452" s="98"/>
      <c r="G452" s="98"/>
      <c r="H452" s="96"/>
    </row>
    <row r="453">
      <c r="A453" s="96"/>
      <c r="B453" s="82"/>
      <c r="C453" s="82"/>
      <c r="D453" s="82"/>
      <c r="E453" s="82"/>
      <c r="F453" s="98"/>
      <c r="G453" s="98"/>
      <c r="H453" s="96"/>
    </row>
    <row r="454">
      <c r="A454" s="96"/>
      <c r="B454" s="82"/>
      <c r="C454" s="82"/>
      <c r="D454" s="82"/>
      <c r="E454" s="82"/>
      <c r="F454" s="98"/>
      <c r="G454" s="98"/>
      <c r="H454" s="96"/>
    </row>
    <row r="455">
      <c r="A455" s="93"/>
      <c r="H455" s="100"/>
    </row>
    <row r="456">
      <c r="A456" s="101"/>
      <c r="B456" s="101"/>
      <c r="C456" s="101"/>
      <c r="D456" s="101"/>
      <c r="E456" s="101"/>
      <c r="F456" s="101"/>
      <c r="G456" s="102"/>
      <c r="H456" s="103"/>
    </row>
    <row r="457">
      <c r="A457" s="85"/>
    </row>
    <row r="458">
      <c r="A458" s="86"/>
      <c r="B458" s="87"/>
      <c r="C458" s="87"/>
      <c r="D458" s="87"/>
      <c r="E458" s="87"/>
      <c r="F458" s="88"/>
      <c r="G458" s="88"/>
      <c r="H458" s="87"/>
    </row>
    <row r="459">
      <c r="A459" s="90"/>
      <c r="B459" s="87"/>
      <c r="C459" s="87"/>
      <c r="D459" s="87"/>
      <c r="E459" s="87"/>
      <c r="F459" s="88"/>
      <c r="G459" s="88"/>
      <c r="H459" s="87"/>
    </row>
    <row r="460">
      <c r="A460" s="93"/>
      <c r="B460" s="93"/>
      <c r="C460" s="94"/>
      <c r="D460" s="94"/>
      <c r="E460" s="94"/>
      <c r="F460" s="95"/>
      <c r="G460" s="95"/>
      <c r="H460" s="94"/>
    </row>
    <row r="461">
      <c r="A461" s="96"/>
      <c r="B461" s="82"/>
      <c r="C461" s="82"/>
      <c r="D461" s="82"/>
      <c r="E461" s="82"/>
      <c r="F461" s="98"/>
      <c r="G461" s="98"/>
      <c r="H461" s="96"/>
    </row>
    <row r="462">
      <c r="A462" s="96"/>
      <c r="B462" s="82"/>
      <c r="C462" s="82"/>
      <c r="D462" s="82"/>
      <c r="E462" s="82"/>
      <c r="F462" s="98"/>
      <c r="G462" s="98"/>
      <c r="H462" s="96"/>
    </row>
    <row r="463">
      <c r="A463" s="96"/>
      <c r="B463" s="82"/>
      <c r="C463" s="82"/>
      <c r="D463" s="82"/>
      <c r="E463" s="82"/>
      <c r="F463" s="98"/>
      <c r="G463" s="98"/>
      <c r="H463" s="96"/>
    </row>
    <row r="464">
      <c r="A464" s="93"/>
      <c r="H464" s="100"/>
    </row>
    <row r="465">
      <c r="A465" s="96"/>
      <c r="B465" s="82"/>
      <c r="C465" s="82"/>
      <c r="D465" s="82"/>
      <c r="E465" s="82"/>
      <c r="F465" s="99"/>
      <c r="G465" s="98"/>
      <c r="H465" s="96"/>
    </row>
    <row r="466">
      <c r="A466" s="86"/>
      <c r="B466" s="87"/>
      <c r="C466" s="87"/>
      <c r="D466" s="87"/>
      <c r="E466" s="87"/>
      <c r="F466" s="88"/>
      <c r="G466" s="88"/>
      <c r="H466" s="87"/>
    </row>
    <row r="467">
      <c r="A467" s="90"/>
      <c r="B467" s="87"/>
      <c r="C467" s="87"/>
      <c r="D467" s="87"/>
      <c r="E467" s="87"/>
      <c r="F467" s="88"/>
      <c r="G467" s="88"/>
      <c r="H467" s="87"/>
    </row>
    <row r="468">
      <c r="A468" s="93"/>
      <c r="B468" s="93"/>
      <c r="C468" s="94"/>
      <c r="D468" s="94"/>
      <c r="E468" s="94"/>
      <c r="F468" s="95"/>
      <c r="G468" s="95"/>
      <c r="H468" s="94"/>
    </row>
    <row r="469">
      <c r="A469" s="96"/>
      <c r="B469" s="82"/>
      <c r="C469" s="82"/>
      <c r="D469" s="82"/>
      <c r="E469" s="82"/>
      <c r="F469" s="98"/>
      <c r="G469" s="98"/>
      <c r="H469" s="96"/>
    </row>
    <row r="470">
      <c r="A470" s="96"/>
      <c r="B470" s="82"/>
      <c r="C470" s="82"/>
      <c r="D470" s="82"/>
      <c r="E470" s="82"/>
      <c r="F470" s="98"/>
      <c r="G470" s="98"/>
      <c r="H470" s="96"/>
    </row>
    <row r="471">
      <c r="A471" s="96"/>
      <c r="B471" s="82"/>
      <c r="C471" s="82"/>
      <c r="D471" s="82"/>
      <c r="E471" s="82"/>
      <c r="F471" s="98"/>
      <c r="G471" s="98"/>
      <c r="H471" s="96"/>
    </row>
    <row r="472">
      <c r="A472" s="93"/>
      <c r="H472" s="100"/>
    </row>
    <row r="473">
      <c r="A473" s="101"/>
      <c r="B473" s="101"/>
      <c r="C473" s="101"/>
      <c r="D473" s="101"/>
      <c r="E473" s="101"/>
      <c r="F473" s="101"/>
      <c r="G473" s="102"/>
      <c r="H473" s="103"/>
    </row>
    <row r="474">
      <c r="A474" s="86"/>
      <c r="B474" s="87"/>
      <c r="C474" s="87"/>
      <c r="D474" s="87"/>
      <c r="E474" s="87"/>
      <c r="F474" s="88"/>
      <c r="G474" s="88"/>
      <c r="H474" s="87"/>
    </row>
    <row r="475">
      <c r="A475" s="90"/>
      <c r="B475" s="87"/>
      <c r="C475" s="87"/>
      <c r="D475" s="87"/>
      <c r="E475" s="87"/>
      <c r="F475" s="88"/>
      <c r="G475" s="88"/>
      <c r="H475" s="87"/>
    </row>
    <row r="476">
      <c r="A476" s="93"/>
      <c r="B476" s="93"/>
      <c r="C476" s="94"/>
      <c r="D476" s="94"/>
      <c r="E476" s="94"/>
      <c r="F476" s="95"/>
      <c r="G476" s="95"/>
      <c r="H476" s="94"/>
    </row>
    <row r="477">
      <c r="A477" s="96"/>
      <c r="B477" s="82"/>
      <c r="C477" s="82"/>
      <c r="D477" s="82"/>
      <c r="E477" s="82"/>
      <c r="F477" s="98"/>
      <c r="G477" s="98"/>
      <c r="H477" s="96"/>
    </row>
    <row r="478">
      <c r="A478" s="96"/>
      <c r="B478" s="82"/>
      <c r="C478" s="82"/>
      <c r="D478" s="82"/>
      <c r="E478" s="82"/>
      <c r="F478" s="98"/>
      <c r="G478" s="98"/>
      <c r="H478" s="96"/>
    </row>
    <row r="479">
      <c r="A479" s="96"/>
      <c r="B479" s="82"/>
      <c r="C479" s="82"/>
      <c r="D479" s="82"/>
      <c r="E479" s="82"/>
      <c r="F479" s="98"/>
      <c r="G479" s="98"/>
      <c r="H479" s="96"/>
    </row>
    <row r="480">
      <c r="A480" s="93"/>
      <c r="H480" s="100"/>
    </row>
    <row r="481">
      <c r="A481" s="93"/>
      <c r="B481" s="93"/>
      <c r="C481" s="93"/>
      <c r="D481" s="93"/>
      <c r="E481" s="93"/>
      <c r="F481" s="93"/>
      <c r="G481" s="119"/>
      <c r="H481" s="100"/>
    </row>
    <row r="482">
      <c r="A482" s="86"/>
      <c r="B482" s="87"/>
      <c r="C482" s="87"/>
      <c r="D482" s="87"/>
      <c r="E482" s="87"/>
      <c r="F482" s="88"/>
      <c r="G482" s="88"/>
      <c r="H482" s="87"/>
    </row>
    <row r="483">
      <c r="A483" s="90"/>
      <c r="B483" s="87"/>
      <c r="C483" s="87"/>
      <c r="D483" s="87"/>
      <c r="E483" s="87"/>
      <c r="F483" s="88"/>
      <c r="G483" s="88"/>
      <c r="H483" s="87"/>
    </row>
    <row r="484">
      <c r="A484" s="93"/>
      <c r="B484" s="93"/>
      <c r="C484" s="94"/>
      <c r="D484" s="94"/>
      <c r="E484" s="94"/>
      <c r="F484" s="95"/>
      <c r="G484" s="95"/>
      <c r="H484" s="94"/>
    </row>
    <row r="485">
      <c r="A485" s="96"/>
      <c r="B485" s="82"/>
      <c r="C485" s="82"/>
      <c r="D485" s="82"/>
      <c r="E485" s="82"/>
      <c r="F485" s="98"/>
      <c r="G485" s="98"/>
      <c r="H485" s="96"/>
    </row>
    <row r="486">
      <c r="A486" s="96"/>
      <c r="B486" s="82"/>
      <c r="C486" s="82"/>
      <c r="D486" s="82"/>
      <c r="E486" s="82"/>
      <c r="F486" s="98"/>
      <c r="G486" s="98"/>
      <c r="H486" s="96"/>
    </row>
    <row r="487">
      <c r="A487" s="96"/>
      <c r="B487" s="82"/>
      <c r="C487" s="82"/>
      <c r="D487" s="82"/>
      <c r="E487" s="82"/>
      <c r="F487" s="98"/>
      <c r="G487" s="98"/>
      <c r="H487" s="96"/>
    </row>
    <row r="488">
      <c r="A488" s="93"/>
      <c r="H488" s="100"/>
    </row>
    <row r="489">
      <c r="A489" s="101"/>
      <c r="B489" s="101"/>
      <c r="C489" s="101"/>
      <c r="D489" s="101"/>
      <c r="E489" s="101"/>
      <c r="F489" s="101"/>
      <c r="G489" s="102"/>
      <c r="H489" s="103"/>
    </row>
    <row r="490">
      <c r="A490" s="86"/>
      <c r="B490" s="87"/>
      <c r="C490" s="87"/>
      <c r="D490" s="87"/>
      <c r="E490" s="87"/>
      <c r="F490" s="88"/>
      <c r="G490" s="88"/>
      <c r="H490" s="87"/>
    </row>
    <row r="491">
      <c r="A491" s="90"/>
      <c r="B491" s="87"/>
      <c r="C491" s="87"/>
      <c r="D491" s="87"/>
      <c r="E491" s="87"/>
      <c r="F491" s="88"/>
      <c r="G491" s="88"/>
      <c r="H491" s="87"/>
    </row>
    <row r="492">
      <c r="A492" s="93"/>
      <c r="B492" s="93"/>
      <c r="C492" s="94"/>
      <c r="D492" s="94"/>
      <c r="E492" s="94"/>
      <c r="F492" s="95"/>
      <c r="G492" s="95"/>
      <c r="H492" s="94"/>
    </row>
    <row r="493">
      <c r="A493" s="96"/>
      <c r="B493" s="82"/>
      <c r="C493" s="82"/>
      <c r="D493" s="82"/>
      <c r="E493" s="82"/>
      <c r="F493" s="98"/>
      <c r="G493" s="98"/>
      <c r="H493" s="96"/>
    </row>
    <row r="494">
      <c r="A494" s="96"/>
      <c r="B494" s="82"/>
      <c r="C494" s="82"/>
      <c r="D494" s="82"/>
      <c r="E494" s="82"/>
      <c r="F494" s="98"/>
      <c r="G494" s="98"/>
      <c r="H494" s="96"/>
    </row>
    <row r="495">
      <c r="A495" s="96"/>
      <c r="B495" s="82"/>
      <c r="C495" s="82"/>
      <c r="D495" s="82"/>
      <c r="E495" s="82"/>
      <c r="F495" s="98"/>
      <c r="G495" s="98"/>
      <c r="H495" s="96"/>
    </row>
    <row r="496">
      <c r="A496" s="93"/>
      <c r="H496" s="100"/>
    </row>
    <row r="497">
      <c r="A497" s="101"/>
      <c r="B497" s="101"/>
      <c r="C497" s="101"/>
      <c r="D497" s="101"/>
      <c r="E497" s="101"/>
      <c r="F497" s="101"/>
      <c r="G497" s="102"/>
      <c r="H497" s="103"/>
    </row>
    <row r="498">
      <c r="A498" s="86"/>
      <c r="B498" s="87"/>
      <c r="C498" s="87"/>
      <c r="D498" s="87"/>
      <c r="E498" s="87"/>
      <c r="F498" s="88"/>
      <c r="G498" s="88"/>
      <c r="H498" s="87"/>
    </row>
    <row r="499">
      <c r="A499" s="90"/>
      <c r="B499" s="87"/>
      <c r="C499" s="87"/>
      <c r="D499" s="87"/>
      <c r="E499" s="87"/>
      <c r="F499" s="88"/>
      <c r="G499" s="88"/>
      <c r="H499" s="87"/>
    </row>
    <row r="500">
      <c r="A500" s="93"/>
      <c r="B500" s="93"/>
      <c r="C500" s="94"/>
      <c r="D500" s="94"/>
      <c r="E500" s="94"/>
      <c r="F500" s="95"/>
      <c r="G500" s="95"/>
      <c r="H500" s="94"/>
    </row>
    <row r="501">
      <c r="A501" s="96"/>
      <c r="B501" s="82"/>
      <c r="C501" s="82"/>
      <c r="D501" s="82"/>
      <c r="E501" s="82"/>
      <c r="F501" s="98"/>
      <c r="G501" s="98"/>
      <c r="H501" s="96"/>
    </row>
    <row r="502">
      <c r="A502" s="96"/>
      <c r="B502" s="82"/>
      <c r="C502" s="82"/>
      <c r="D502" s="82"/>
      <c r="E502" s="82"/>
      <c r="F502" s="98"/>
      <c r="G502" s="98"/>
      <c r="H502" s="96"/>
    </row>
    <row r="503">
      <c r="A503" s="96"/>
      <c r="B503" s="82"/>
      <c r="C503" s="82"/>
      <c r="D503" s="82"/>
      <c r="E503" s="82"/>
      <c r="F503" s="98"/>
      <c r="G503" s="98"/>
      <c r="H503" s="96"/>
    </row>
    <row r="504">
      <c r="A504" s="93"/>
      <c r="H504" s="100"/>
    </row>
    <row r="505">
      <c r="A505" s="101"/>
      <c r="B505" s="101"/>
      <c r="C505" s="101"/>
      <c r="D505" s="101"/>
      <c r="E505" s="101"/>
      <c r="F505" s="101"/>
      <c r="G505" s="102"/>
      <c r="H505" s="103"/>
    </row>
    <row r="506">
      <c r="A506" s="86"/>
      <c r="B506" s="87"/>
      <c r="C506" s="87"/>
      <c r="D506" s="87"/>
      <c r="E506" s="87"/>
      <c r="F506" s="88"/>
      <c r="G506" s="88"/>
      <c r="H506" s="87"/>
    </row>
    <row r="507">
      <c r="A507" s="90"/>
      <c r="B507" s="87"/>
      <c r="C507" s="87"/>
      <c r="D507" s="87"/>
      <c r="E507" s="87"/>
      <c r="F507" s="88"/>
      <c r="G507" s="88"/>
      <c r="H507" s="87"/>
    </row>
    <row r="508">
      <c r="A508" s="93"/>
      <c r="B508" s="93"/>
      <c r="C508" s="94"/>
      <c r="D508" s="94"/>
      <c r="E508" s="94"/>
      <c r="F508" s="95"/>
      <c r="G508" s="95"/>
      <c r="H508" s="94"/>
    </row>
    <row r="509">
      <c r="A509" s="96"/>
      <c r="B509" s="82"/>
      <c r="C509" s="82"/>
      <c r="D509" s="82"/>
      <c r="E509" s="82"/>
      <c r="F509" s="98"/>
      <c r="G509" s="98"/>
      <c r="H509" s="96"/>
    </row>
    <row r="510">
      <c r="A510" s="96"/>
      <c r="B510" s="82"/>
      <c r="C510" s="82"/>
      <c r="D510" s="82"/>
      <c r="E510" s="82"/>
      <c r="F510" s="98"/>
      <c r="G510" s="98"/>
      <c r="H510" s="96"/>
    </row>
    <row r="511">
      <c r="A511" s="96"/>
      <c r="B511" s="82"/>
      <c r="C511" s="82"/>
      <c r="D511" s="82"/>
      <c r="E511" s="82"/>
      <c r="F511" s="98"/>
      <c r="G511" s="98"/>
      <c r="H511" s="96"/>
    </row>
    <row r="512">
      <c r="A512" s="93"/>
      <c r="H512" s="100"/>
    </row>
    <row r="513">
      <c r="A513" s="101"/>
      <c r="B513" s="101"/>
      <c r="C513" s="101"/>
      <c r="D513" s="101"/>
      <c r="E513" s="101"/>
      <c r="F513" s="101"/>
      <c r="G513" s="102"/>
      <c r="H513" s="103"/>
    </row>
    <row r="514">
      <c r="A514" s="86"/>
      <c r="B514" s="87"/>
      <c r="C514" s="87"/>
      <c r="D514" s="87"/>
      <c r="E514" s="87"/>
      <c r="F514" s="88"/>
      <c r="G514" s="88"/>
      <c r="H514" s="87"/>
    </row>
    <row r="515">
      <c r="A515" s="90"/>
      <c r="B515" s="87"/>
      <c r="C515" s="87"/>
      <c r="D515" s="87"/>
      <c r="E515" s="87"/>
      <c r="F515" s="88"/>
      <c r="G515" s="88"/>
      <c r="H515" s="87"/>
    </row>
    <row r="516">
      <c r="A516" s="93"/>
      <c r="B516" s="93"/>
      <c r="C516" s="94"/>
      <c r="D516" s="94"/>
      <c r="E516" s="94"/>
      <c r="F516" s="95"/>
      <c r="G516" s="95"/>
      <c r="H516" s="94"/>
    </row>
    <row r="517">
      <c r="A517" s="96"/>
      <c r="B517" s="82"/>
      <c r="C517" s="82"/>
      <c r="D517" s="82"/>
      <c r="E517" s="82"/>
      <c r="F517" s="98"/>
      <c r="G517" s="98"/>
      <c r="H517" s="96"/>
    </row>
    <row r="518">
      <c r="A518" s="96"/>
      <c r="B518" s="82"/>
      <c r="C518" s="82"/>
      <c r="D518" s="82"/>
      <c r="E518" s="82"/>
      <c r="F518" s="98"/>
      <c r="G518" s="98"/>
      <c r="H518" s="96"/>
    </row>
    <row r="519">
      <c r="A519" s="96"/>
      <c r="B519" s="82"/>
      <c r="C519" s="82"/>
      <c r="D519" s="82"/>
      <c r="E519" s="82"/>
      <c r="F519" s="98"/>
      <c r="G519" s="98"/>
      <c r="H519" s="96"/>
    </row>
    <row r="520">
      <c r="A520" s="93"/>
      <c r="H520" s="100"/>
    </row>
    <row r="521">
      <c r="A521" s="101"/>
      <c r="B521" s="101"/>
      <c r="C521" s="101"/>
      <c r="D521" s="101"/>
      <c r="E521" s="101"/>
      <c r="F521" s="101"/>
      <c r="G521" s="102"/>
      <c r="H521" s="103"/>
    </row>
    <row r="522">
      <c r="A522" s="86"/>
      <c r="B522" s="87"/>
      <c r="C522" s="87"/>
      <c r="D522" s="87"/>
      <c r="E522" s="87"/>
      <c r="F522" s="88"/>
      <c r="G522" s="88"/>
      <c r="H522" s="87"/>
    </row>
    <row r="523">
      <c r="A523" s="90"/>
      <c r="B523" s="87"/>
      <c r="C523" s="87"/>
      <c r="D523" s="87"/>
      <c r="E523" s="87"/>
      <c r="F523" s="88"/>
      <c r="G523" s="88"/>
      <c r="H523" s="87"/>
    </row>
    <row r="524">
      <c r="A524" s="93"/>
      <c r="B524" s="93"/>
      <c r="C524" s="94"/>
      <c r="D524" s="94"/>
      <c r="E524" s="94"/>
      <c r="F524" s="95"/>
      <c r="G524" s="95"/>
      <c r="H524" s="94"/>
    </row>
    <row r="525">
      <c r="A525" s="96"/>
      <c r="B525" s="82"/>
      <c r="C525" s="82"/>
      <c r="D525" s="82"/>
      <c r="E525" s="82"/>
      <c r="F525" s="98"/>
      <c r="G525" s="98"/>
      <c r="H525" s="96"/>
    </row>
    <row r="526">
      <c r="A526" s="96"/>
      <c r="B526" s="82"/>
      <c r="C526" s="82"/>
      <c r="D526" s="82"/>
      <c r="E526" s="82"/>
      <c r="F526" s="98"/>
      <c r="G526" s="98"/>
      <c r="H526" s="96"/>
    </row>
    <row r="527">
      <c r="A527" s="96"/>
      <c r="B527" s="82"/>
      <c r="C527" s="82"/>
      <c r="D527" s="82"/>
      <c r="E527" s="82"/>
      <c r="F527" s="98"/>
      <c r="G527" s="98"/>
      <c r="H527" s="96"/>
    </row>
    <row r="528">
      <c r="A528" s="93"/>
      <c r="H528" s="100"/>
    </row>
    <row r="529">
      <c r="A529" s="101"/>
      <c r="B529" s="101"/>
      <c r="C529" s="101"/>
      <c r="D529" s="101"/>
      <c r="E529" s="101"/>
      <c r="F529" s="101"/>
      <c r="G529" s="102"/>
      <c r="H529" s="103"/>
    </row>
    <row r="530">
      <c r="A530" s="86"/>
      <c r="B530" s="87"/>
      <c r="C530" s="87"/>
      <c r="D530" s="87"/>
      <c r="E530" s="87"/>
      <c r="F530" s="88"/>
      <c r="G530" s="88"/>
      <c r="H530" s="87"/>
    </row>
    <row r="531">
      <c r="A531" s="90"/>
      <c r="B531" s="87"/>
      <c r="C531" s="87"/>
      <c r="D531" s="87"/>
      <c r="E531" s="87"/>
      <c r="F531" s="88"/>
      <c r="G531" s="88"/>
      <c r="H531" s="87"/>
    </row>
    <row r="532">
      <c r="A532" s="93"/>
      <c r="B532" s="93"/>
      <c r="C532" s="94"/>
      <c r="D532" s="94"/>
      <c r="E532" s="94"/>
      <c r="F532" s="95"/>
      <c r="G532" s="95"/>
      <c r="H532" s="94"/>
    </row>
    <row r="533">
      <c r="A533" s="96"/>
      <c r="B533" s="82"/>
      <c r="C533" s="82"/>
      <c r="D533" s="82"/>
      <c r="E533" s="82"/>
      <c r="F533" s="98"/>
      <c r="G533" s="98"/>
      <c r="H533" s="96"/>
    </row>
    <row r="534">
      <c r="A534" s="96"/>
      <c r="B534" s="82"/>
      <c r="C534" s="82"/>
      <c r="D534" s="82"/>
      <c r="E534" s="82"/>
      <c r="F534" s="98"/>
      <c r="G534" s="98"/>
      <c r="H534" s="96"/>
    </row>
    <row r="535">
      <c r="A535" s="96"/>
      <c r="B535" s="82"/>
      <c r="C535" s="82"/>
      <c r="D535" s="82"/>
      <c r="E535" s="82"/>
      <c r="F535" s="98"/>
      <c r="G535" s="98"/>
      <c r="H535" s="96"/>
    </row>
    <row r="536">
      <c r="A536" s="93"/>
      <c r="H536" s="100"/>
    </row>
    <row r="537">
      <c r="A537" s="101"/>
      <c r="B537" s="101"/>
      <c r="C537" s="101"/>
      <c r="D537" s="101"/>
      <c r="E537" s="101"/>
      <c r="F537" s="101"/>
      <c r="G537" s="102"/>
      <c r="H537" s="103"/>
    </row>
    <row r="538">
      <c r="A538" s="113"/>
      <c r="B538" s="113"/>
      <c r="C538" s="113"/>
      <c r="D538" s="113"/>
      <c r="E538" s="115"/>
      <c r="H538" s="100"/>
    </row>
    <row r="539">
      <c r="A539" s="101"/>
      <c r="B539" s="101"/>
      <c r="C539" s="101"/>
      <c r="D539" s="101"/>
      <c r="E539" s="101"/>
      <c r="F539" s="102"/>
      <c r="G539" s="102"/>
      <c r="H539" s="103"/>
    </row>
    <row r="540">
      <c r="A540" s="90"/>
      <c r="B540" s="87"/>
      <c r="C540" s="87"/>
      <c r="D540" s="87"/>
      <c r="E540" s="87"/>
      <c r="F540" s="88"/>
      <c r="G540" s="88"/>
      <c r="H540" s="87"/>
    </row>
    <row r="541">
      <c r="A541" s="113"/>
      <c r="C541" s="87"/>
      <c r="D541" s="87"/>
      <c r="E541" s="87"/>
      <c r="F541" s="88"/>
      <c r="G541" s="88"/>
      <c r="H541" s="89"/>
    </row>
    <row r="542">
      <c r="A542" s="90"/>
      <c r="B542" s="87"/>
      <c r="C542" s="87"/>
      <c r="D542" s="87"/>
      <c r="E542" s="87"/>
      <c r="F542" s="88"/>
      <c r="G542" s="88"/>
      <c r="H542" s="89"/>
    </row>
    <row r="543">
      <c r="A543" s="86"/>
      <c r="B543" s="87"/>
      <c r="C543" s="87"/>
      <c r="D543" s="87"/>
      <c r="E543" s="87"/>
      <c r="F543" s="88"/>
      <c r="G543" s="88"/>
      <c r="H543" s="87"/>
    </row>
    <row r="544">
      <c r="A544" s="93"/>
      <c r="B544" s="93"/>
      <c r="C544" s="94"/>
      <c r="D544" s="94"/>
      <c r="E544" s="94"/>
      <c r="F544" s="95"/>
      <c r="G544" s="95"/>
      <c r="H544" s="94"/>
    </row>
    <row r="545">
      <c r="A545" s="96"/>
      <c r="B545" s="82"/>
      <c r="C545" s="82"/>
      <c r="D545" s="82"/>
      <c r="E545" s="82"/>
      <c r="F545" s="99"/>
      <c r="G545" s="98"/>
      <c r="H545" s="105"/>
    </row>
    <row r="546">
      <c r="A546" s="111"/>
      <c r="B546" s="112"/>
      <c r="C546" s="82"/>
      <c r="D546" s="82"/>
      <c r="E546" s="82"/>
      <c r="F546" s="99"/>
      <c r="G546" s="98"/>
      <c r="H546" s="111"/>
    </row>
    <row r="547">
      <c r="A547" s="93"/>
      <c r="H547" s="100"/>
    </row>
    <row r="548">
      <c r="A548" s="101"/>
      <c r="B548" s="101"/>
      <c r="C548" s="101"/>
      <c r="D548" s="101"/>
      <c r="E548" s="101"/>
      <c r="F548" s="102"/>
      <c r="G548" s="102"/>
      <c r="H548" s="103"/>
    </row>
    <row r="549">
      <c r="A549" s="103"/>
      <c r="B549" s="103"/>
      <c r="C549" s="103"/>
      <c r="D549" s="103"/>
      <c r="E549" s="104"/>
      <c r="H549" s="100"/>
    </row>
    <row r="550">
      <c r="A550" s="120"/>
      <c r="B550" s="89"/>
      <c r="C550" s="89"/>
      <c r="D550" s="89"/>
      <c r="E550" s="87"/>
      <c r="F550" s="88"/>
      <c r="G550" s="88"/>
      <c r="H550" s="89"/>
    </row>
    <row r="551">
      <c r="A551" s="86"/>
      <c r="B551" s="87"/>
      <c r="C551" s="87"/>
      <c r="D551" s="87"/>
      <c r="E551" s="87"/>
      <c r="F551" s="88"/>
      <c r="G551" s="88"/>
      <c r="H551" s="87"/>
    </row>
    <row r="552">
      <c r="A552" s="93"/>
      <c r="B552" s="93"/>
      <c r="C552" s="94"/>
      <c r="D552" s="94"/>
      <c r="E552" s="94"/>
      <c r="F552" s="95"/>
      <c r="G552" s="95"/>
      <c r="H552" s="94"/>
    </row>
    <row r="553">
      <c r="A553" s="96"/>
      <c r="B553" s="82"/>
      <c r="C553" s="82"/>
      <c r="D553" s="82"/>
      <c r="E553" s="82"/>
      <c r="F553" s="99"/>
      <c r="G553" s="98"/>
      <c r="H553" s="105"/>
    </row>
    <row r="554">
      <c r="A554" s="93"/>
      <c r="H554" s="100"/>
    </row>
    <row r="555">
      <c r="A555" s="115"/>
    </row>
    <row r="556">
      <c r="A556" s="121"/>
    </row>
    <row r="559">
      <c r="F559" s="122"/>
      <c r="G559" s="122"/>
    </row>
    <row r="560">
      <c r="F560" s="122"/>
      <c r="G560" s="122"/>
    </row>
    <row r="561">
      <c r="F561" s="122"/>
      <c r="G561" s="122"/>
    </row>
    <row r="562">
      <c r="F562" s="122"/>
      <c r="G562" s="122"/>
    </row>
    <row r="563">
      <c r="F563" s="122"/>
      <c r="G563" s="122"/>
    </row>
    <row r="564">
      <c r="F564" s="122"/>
      <c r="G564" s="122"/>
    </row>
    <row r="565">
      <c r="F565" s="122"/>
      <c r="G565" s="122"/>
    </row>
    <row r="566">
      <c r="F566" s="122"/>
      <c r="G566" s="122"/>
    </row>
    <row r="567">
      <c r="F567" s="122"/>
      <c r="G567" s="122"/>
    </row>
    <row r="568">
      <c r="F568" s="122"/>
      <c r="G568" s="122"/>
    </row>
    <row r="569">
      <c r="F569" s="122"/>
      <c r="G569" s="122"/>
    </row>
    <row r="570">
      <c r="F570" s="122"/>
      <c r="G570" s="122"/>
    </row>
    <row r="571">
      <c r="F571" s="122"/>
      <c r="G571" s="122"/>
    </row>
    <row r="572">
      <c r="F572" s="122"/>
      <c r="G572" s="122"/>
    </row>
    <row r="573">
      <c r="F573" s="122"/>
      <c r="G573" s="122"/>
    </row>
    <row r="574">
      <c r="F574" s="122"/>
      <c r="G574" s="122"/>
    </row>
    <row r="575">
      <c r="F575" s="122"/>
      <c r="G575" s="122"/>
    </row>
    <row r="576">
      <c r="F576" s="122"/>
      <c r="G576" s="122"/>
    </row>
    <row r="577">
      <c r="F577" s="122"/>
      <c r="G577" s="122"/>
    </row>
    <row r="578">
      <c r="F578" s="122"/>
      <c r="G578" s="122"/>
    </row>
    <row r="579">
      <c r="F579" s="122"/>
      <c r="G579" s="122"/>
    </row>
    <row r="580">
      <c r="F580" s="122"/>
      <c r="G580" s="122"/>
    </row>
    <row r="581">
      <c r="F581" s="122"/>
      <c r="G581" s="122"/>
    </row>
    <row r="582">
      <c r="F582" s="122"/>
      <c r="G582" s="122"/>
    </row>
    <row r="583">
      <c r="F583" s="122"/>
      <c r="G583" s="122"/>
    </row>
    <row r="584">
      <c r="F584" s="122"/>
      <c r="G584" s="122"/>
    </row>
    <row r="585">
      <c r="F585" s="122"/>
      <c r="G585" s="122"/>
    </row>
    <row r="586">
      <c r="F586" s="122"/>
      <c r="G586" s="122"/>
    </row>
    <row r="587">
      <c r="F587" s="122"/>
      <c r="G587" s="122"/>
    </row>
    <row r="588">
      <c r="F588" s="122"/>
      <c r="G588" s="122"/>
    </row>
    <row r="589">
      <c r="F589" s="122"/>
      <c r="G589" s="122"/>
    </row>
    <row r="590">
      <c r="F590" s="122"/>
      <c r="G590" s="122"/>
    </row>
    <row r="591">
      <c r="F591" s="122"/>
      <c r="G591" s="122"/>
    </row>
    <row r="592">
      <c r="F592" s="122"/>
      <c r="G592" s="122"/>
    </row>
    <row r="593">
      <c r="F593" s="122"/>
      <c r="G593" s="122"/>
    </row>
    <row r="594">
      <c r="F594" s="122"/>
      <c r="G594" s="122"/>
    </row>
    <row r="595">
      <c r="F595" s="122"/>
      <c r="G595" s="122"/>
    </row>
    <row r="596">
      <c r="F596" s="122"/>
      <c r="G596" s="122"/>
    </row>
    <row r="597">
      <c r="F597" s="122"/>
      <c r="G597" s="122"/>
    </row>
    <row r="598">
      <c r="F598" s="122"/>
      <c r="G598" s="122"/>
    </row>
    <row r="599">
      <c r="F599" s="122"/>
      <c r="G599" s="122"/>
    </row>
    <row r="600">
      <c r="F600" s="122"/>
      <c r="G600" s="122"/>
    </row>
    <row r="601">
      <c r="F601" s="122"/>
      <c r="G601" s="122"/>
    </row>
    <row r="602">
      <c r="F602" s="122"/>
      <c r="G602" s="122"/>
    </row>
    <row r="603">
      <c r="F603" s="122"/>
      <c r="G603" s="122"/>
    </row>
    <row r="604">
      <c r="F604" s="122"/>
      <c r="G604" s="122"/>
    </row>
    <row r="605">
      <c r="F605" s="122"/>
      <c r="G605" s="122"/>
    </row>
    <row r="606">
      <c r="F606" s="122"/>
      <c r="G606" s="122"/>
    </row>
    <row r="607">
      <c r="F607" s="122"/>
      <c r="G607" s="122"/>
    </row>
    <row r="608">
      <c r="F608" s="122"/>
      <c r="G608" s="122"/>
    </row>
    <row r="609">
      <c r="F609" s="122"/>
      <c r="G609" s="122"/>
    </row>
    <row r="610">
      <c r="F610" s="122"/>
      <c r="G610" s="122"/>
    </row>
    <row r="611">
      <c r="F611" s="122"/>
      <c r="G611" s="122"/>
    </row>
    <row r="612">
      <c r="F612" s="122"/>
      <c r="G612" s="122"/>
    </row>
    <row r="613">
      <c r="F613" s="122"/>
      <c r="G613" s="122"/>
    </row>
    <row r="614">
      <c r="F614" s="122"/>
      <c r="G614" s="122"/>
    </row>
    <row r="615">
      <c r="F615" s="122"/>
      <c r="G615" s="122"/>
    </row>
    <row r="616">
      <c r="F616" s="122"/>
      <c r="G616" s="122"/>
    </row>
    <row r="617">
      <c r="F617" s="122"/>
      <c r="G617" s="122"/>
    </row>
    <row r="618">
      <c r="F618" s="122"/>
      <c r="G618" s="122"/>
    </row>
    <row r="619">
      <c r="F619" s="122"/>
      <c r="G619" s="122"/>
    </row>
    <row r="620">
      <c r="F620" s="122"/>
      <c r="G620" s="122"/>
    </row>
    <row r="621">
      <c r="F621" s="122"/>
      <c r="G621" s="122"/>
    </row>
    <row r="622">
      <c r="F622" s="122"/>
      <c r="G622" s="122"/>
    </row>
    <row r="623">
      <c r="F623" s="122"/>
      <c r="G623" s="122"/>
    </row>
    <row r="624">
      <c r="F624" s="122"/>
      <c r="G624" s="122"/>
    </row>
    <row r="625">
      <c r="F625" s="122"/>
      <c r="G625" s="122"/>
    </row>
    <row r="626">
      <c r="F626" s="122"/>
      <c r="G626" s="122"/>
    </row>
    <row r="627">
      <c r="F627" s="122"/>
      <c r="G627" s="122"/>
    </row>
    <row r="628">
      <c r="F628" s="122"/>
      <c r="G628" s="122"/>
    </row>
    <row r="629">
      <c r="F629" s="122"/>
      <c r="G629" s="122"/>
    </row>
    <row r="630">
      <c r="F630" s="122"/>
      <c r="G630" s="122"/>
    </row>
    <row r="631">
      <c r="F631" s="122"/>
      <c r="G631" s="122"/>
    </row>
    <row r="632">
      <c r="F632" s="122"/>
      <c r="G632" s="122"/>
    </row>
    <row r="633">
      <c r="F633" s="122"/>
      <c r="G633" s="122"/>
    </row>
    <row r="634">
      <c r="F634" s="122"/>
      <c r="G634" s="122"/>
    </row>
    <row r="635">
      <c r="F635" s="122"/>
      <c r="G635" s="122"/>
    </row>
    <row r="636">
      <c r="F636" s="122"/>
      <c r="G636" s="122"/>
    </row>
    <row r="637">
      <c r="F637" s="122"/>
      <c r="G637" s="122"/>
    </row>
    <row r="638">
      <c r="F638" s="122"/>
      <c r="G638" s="122"/>
    </row>
    <row r="639">
      <c r="F639" s="122"/>
      <c r="G639" s="122"/>
    </row>
    <row r="640">
      <c r="F640" s="122"/>
      <c r="G640" s="122"/>
    </row>
    <row r="641">
      <c r="F641" s="122"/>
      <c r="G641" s="122"/>
    </row>
    <row r="642">
      <c r="F642" s="122"/>
      <c r="G642" s="122"/>
    </row>
    <row r="643">
      <c r="F643" s="122"/>
      <c r="G643" s="122"/>
    </row>
    <row r="644">
      <c r="F644" s="122"/>
      <c r="G644" s="122"/>
    </row>
    <row r="645">
      <c r="F645" s="122"/>
      <c r="G645" s="122"/>
    </row>
    <row r="646">
      <c r="F646" s="122"/>
      <c r="G646" s="122"/>
    </row>
    <row r="647">
      <c r="F647" s="122"/>
      <c r="G647" s="122"/>
    </row>
    <row r="648">
      <c r="F648" s="122"/>
      <c r="G648" s="122"/>
    </row>
    <row r="649">
      <c r="F649" s="122"/>
      <c r="G649" s="122"/>
    </row>
    <row r="650">
      <c r="F650" s="122"/>
      <c r="G650" s="122"/>
    </row>
    <row r="651">
      <c r="F651" s="122"/>
      <c r="G651" s="122"/>
    </row>
    <row r="652">
      <c r="F652" s="122"/>
      <c r="G652" s="122"/>
    </row>
    <row r="653">
      <c r="F653" s="122"/>
      <c r="G653" s="122"/>
    </row>
    <row r="654">
      <c r="F654" s="122"/>
      <c r="G654" s="122"/>
    </row>
    <row r="655">
      <c r="F655" s="122"/>
      <c r="G655" s="122"/>
    </row>
    <row r="656">
      <c r="F656" s="122"/>
      <c r="G656" s="122"/>
    </row>
    <row r="657">
      <c r="F657" s="122"/>
      <c r="G657" s="122"/>
    </row>
    <row r="658">
      <c r="F658" s="122"/>
      <c r="G658" s="122"/>
    </row>
    <row r="659">
      <c r="F659" s="122"/>
      <c r="G659" s="122"/>
    </row>
    <row r="660">
      <c r="F660" s="122"/>
      <c r="G660" s="122"/>
    </row>
    <row r="661">
      <c r="F661" s="122"/>
      <c r="G661" s="122"/>
    </row>
    <row r="662">
      <c r="F662" s="122"/>
      <c r="G662" s="122"/>
    </row>
    <row r="663">
      <c r="F663" s="122"/>
      <c r="G663" s="122"/>
    </row>
    <row r="664">
      <c r="F664" s="122"/>
      <c r="G664" s="122"/>
    </row>
    <row r="665">
      <c r="F665" s="122"/>
      <c r="G665" s="122"/>
    </row>
    <row r="666">
      <c r="F666" s="122"/>
      <c r="G666" s="122"/>
    </row>
    <row r="667">
      <c r="F667" s="122"/>
      <c r="G667" s="122"/>
    </row>
    <row r="668">
      <c r="F668" s="122"/>
      <c r="G668" s="122"/>
    </row>
    <row r="669">
      <c r="F669" s="122"/>
      <c r="G669" s="122"/>
    </row>
    <row r="670">
      <c r="F670" s="122"/>
      <c r="G670" s="122"/>
    </row>
    <row r="671">
      <c r="F671" s="122"/>
      <c r="G671" s="122"/>
    </row>
    <row r="672">
      <c r="F672" s="122"/>
      <c r="G672" s="122"/>
    </row>
    <row r="673">
      <c r="F673" s="122"/>
      <c r="G673" s="122"/>
    </row>
    <row r="674">
      <c r="F674" s="122"/>
      <c r="G674" s="122"/>
    </row>
    <row r="675">
      <c r="F675" s="122"/>
      <c r="G675" s="122"/>
    </row>
    <row r="676">
      <c r="F676" s="122"/>
      <c r="G676" s="122"/>
    </row>
    <row r="677">
      <c r="F677" s="122"/>
      <c r="G677" s="122"/>
    </row>
    <row r="678">
      <c r="F678" s="122"/>
      <c r="G678" s="122"/>
    </row>
    <row r="679">
      <c r="F679" s="122"/>
      <c r="G679" s="122"/>
    </row>
    <row r="680">
      <c r="F680" s="122"/>
      <c r="G680" s="122"/>
    </row>
    <row r="681">
      <c r="F681" s="122"/>
      <c r="G681" s="122"/>
    </row>
    <row r="682">
      <c r="F682" s="122"/>
      <c r="G682" s="122"/>
    </row>
    <row r="683">
      <c r="F683" s="122"/>
      <c r="G683" s="122"/>
    </row>
    <row r="684">
      <c r="F684" s="122"/>
      <c r="G684" s="122"/>
    </row>
    <row r="685">
      <c r="F685" s="122"/>
      <c r="G685" s="122"/>
    </row>
    <row r="686">
      <c r="F686" s="122"/>
      <c r="G686" s="122"/>
    </row>
    <row r="687">
      <c r="F687" s="122"/>
      <c r="G687" s="122"/>
    </row>
    <row r="688">
      <c r="F688" s="122"/>
      <c r="G688" s="122"/>
    </row>
    <row r="689">
      <c r="F689" s="122"/>
      <c r="G689" s="122"/>
    </row>
    <row r="690">
      <c r="F690" s="122"/>
      <c r="G690" s="122"/>
    </row>
    <row r="691">
      <c r="F691" s="122"/>
      <c r="G691" s="122"/>
    </row>
    <row r="692">
      <c r="F692" s="122"/>
      <c r="G692" s="122"/>
    </row>
    <row r="693">
      <c r="F693" s="122"/>
      <c r="G693" s="122"/>
    </row>
    <row r="694">
      <c r="F694" s="122"/>
      <c r="G694" s="122"/>
    </row>
    <row r="695">
      <c r="F695" s="122"/>
      <c r="G695" s="122"/>
    </row>
    <row r="696">
      <c r="F696" s="122"/>
      <c r="G696" s="122"/>
    </row>
    <row r="697">
      <c r="F697" s="122"/>
      <c r="G697" s="122"/>
    </row>
    <row r="698">
      <c r="F698" s="122"/>
      <c r="G698" s="122"/>
    </row>
    <row r="699">
      <c r="F699" s="122"/>
      <c r="G699" s="122"/>
    </row>
    <row r="700">
      <c r="F700" s="122"/>
      <c r="G700" s="122"/>
    </row>
    <row r="701">
      <c r="F701" s="122"/>
      <c r="G701" s="122"/>
    </row>
    <row r="702">
      <c r="F702" s="122"/>
      <c r="G702" s="122"/>
    </row>
    <row r="703">
      <c r="F703" s="122"/>
      <c r="G703" s="122"/>
    </row>
    <row r="704">
      <c r="F704" s="122"/>
      <c r="G704" s="122"/>
    </row>
    <row r="705">
      <c r="F705" s="122"/>
      <c r="G705" s="122"/>
    </row>
    <row r="706">
      <c r="F706" s="122"/>
      <c r="G706" s="122"/>
    </row>
    <row r="707">
      <c r="F707" s="122"/>
      <c r="G707" s="122"/>
    </row>
    <row r="708">
      <c r="F708" s="122"/>
      <c r="G708" s="122"/>
    </row>
    <row r="709">
      <c r="F709" s="122"/>
      <c r="G709" s="122"/>
    </row>
    <row r="710">
      <c r="F710" s="122"/>
      <c r="G710" s="122"/>
    </row>
    <row r="711">
      <c r="F711" s="122"/>
      <c r="G711" s="122"/>
    </row>
    <row r="712">
      <c r="F712" s="122"/>
      <c r="G712" s="122"/>
    </row>
    <row r="713">
      <c r="F713" s="122"/>
      <c r="G713" s="122"/>
    </row>
    <row r="714">
      <c r="F714" s="122"/>
      <c r="G714" s="122"/>
    </row>
    <row r="715">
      <c r="F715" s="122"/>
      <c r="G715" s="122"/>
    </row>
    <row r="716">
      <c r="F716" s="122"/>
      <c r="G716" s="122"/>
    </row>
    <row r="717">
      <c r="F717" s="122"/>
      <c r="G717" s="122"/>
    </row>
    <row r="718">
      <c r="F718" s="122"/>
      <c r="G718" s="122"/>
    </row>
    <row r="719">
      <c r="F719" s="122"/>
      <c r="G719" s="122"/>
    </row>
    <row r="720">
      <c r="F720" s="122"/>
      <c r="G720" s="122"/>
    </row>
    <row r="721">
      <c r="F721" s="122"/>
      <c r="G721" s="122"/>
    </row>
    <row r="722">
      <c r="F722" s="122"/>
      <c r="G722" s="122"/>
    </row>
    <row r="723">
      <c r="F723" s="122"/>
      <c r="G723" s="122"/>
    </row>
    <row r="724">
      <c r="F724" s="122"/>
      <c r="G724" s="122"/>
    </row>
    <row r="725">
      <c r="F725" s="122"/>
      <c r="G725" s="122"/>
    </row>
    <row r="726">
      <c r="F726" s="122"/>
      <c r="G726" s="122"/>
    </row>
    <row r="727">
      <c r="F727" s="122"/>
      <c r="G727" s="122"/>
    </row>
    <row r="728">
      <c r="F728" s="122"/>
      <c r="G728" s="122"/>
    </row>
    <row r="729">
      <c r="F729" s="122"/>
      <c r="G729" s="122"/>
    </row>
    <row r="730">
      <c r="F730" s="122"/>
      <c r="G730" s="122"/>
    </row>
    <row r="731">
      <c r="F731" s="122"/>
      <c r="G731" s="122"/>
    </row>
    <row r="732">
      <c r="F732" s="122"/>
      <c r="G732" s="122"/>
    </row>
    <row r="733">
      <c r="F733" s="122"/>
      <c r="G733" s="122"/>
    </row>
    <row r="734">
      <c r="F734" s="122"/>
      <c r="G734" s="122"/>
    </row>
    <row r="735">
      <c r="F735" s="122"/>
      <c r="G735" s="122"/>
    </row>
    <row r="736">
      <c r="F736" s="122"/>
      <c r="G736" s="122"/>
    </row>
    <row r="737">
      <c r="F737" s="122"/>
      <c r="G737" s="122"/>
    </row>
    <row r="738">
      <c r="F738" s="122"/>
      <c r="G738" s="122"/>
    </row>
    <row r="739">
      <c r="F739" s="122"/>
      <c r="G739" s="122"/>
    </row>
    <row r="740">
      <c r="F740" s="122"/>
      <c r="G740" s="122"/>
    </row>
    <row r="741">
      <c r="F741" s="122"/>
      <c r="G741" s="122"/>
    </row>
    <row r="742">
      <c r="F742" s="122"/>
      <c r="G742" s="122"/>
    </row>
    <row r="743">
      <c r="F743" s="122"/>
      <c r="G743" s="122"/>
    </row>
    <row r="744">
      <c r="F744" s="122"/>
      <c r="G744" s="122"/>
    </row>
    <row r="745">
      <c r="F745" s="122"/>
      <c r="G745" s="122"/>
    </row>
    <row r="746">
      <c r="F746" s="122"/>
      <c r="G746" s="122"/>
    </row>
    <row r="747">
      <c r="F747" s="122"/>
      <c r="G747" s="122"/>
    </row>
    <row r="748">
      <c r="F748" s="122"/>
      <c r="G748" s="122"/>
    </row>
    <row r="749">
      <c r="F749" s="122"/>
      <c r="G749" s="122"/>
    </row>
    <row r="750">
      <c r="F750" s="122"/>
      <c r="G750" s="122"/>
    </row>
    <row r="751">
      <c r="F751" s="122"/>
      <c r="G751" s="122"/>
    </row>
    <row r="752">
      <c r="F752" s="122"/>
      <c r="G752" s="122"/>
    </row>
    <row r="753">
      <c r="F753" s="122"/>
      <c r="G753" s="122"/>
    </row>
    <row r="754">
      <c r="F754" s="122"/>
      <c r="G754" s="122"/>
    </row>
    <row r="755">
      <c r="F755" s="122"/>
      <c r="G755" s="122"/>
    </row>
    <row r="756">
      <c r="F756" s="122"/>
      <c r="G756" s="122"/>
    </row>
    <row r="757">
      <c r="F757" s="122"/>
      <c r="G757" s="122"/>
    </row>
    <row r="758">
      <c r="F758" s="122"/>
      <c r="G758" s="122"/>
    </row>
    <row r="759">
      <c r="F759" s="122"/>
      <c r="G759" s="122"/>
    </row>
    <row r="760">
      <c r="F760" s="122"/>
      <c r="G760" s="122"/>
    </row>
    <row r="761">
      <c r="F761" s="122"/>
      <c r="G761" s="122"/>
    </row>
    <row r="762">
      <c r="F762" s="122"/>
      <c r="G762" s="122"/>
    </row>
    <row r="763">
      <c r="F763" s="122"/>
      <c r="G763" s="122"/>
    </row>
    <row r="764">
      <c r="F764" s="122"/>
      <c r="G764" s="122"/>
    </row>
    <row r="765">
      <c r="F765" s="122"/>
      <c r="G765" s="122"/>
    </row>
    <row r="766">
      <c r="F766" s="122"/>
      <c r="G766" s="122"/>
    </row>
    <row r="767">
      <c r="F767" s="122"/>
      <c r="G767" s="122"/>
    </row>
    <row r="768">
      <c r="F768" s="122"/>
      <c r="G768" s="122"/>
    </row>
    <row r="769">
      <c r="F769" s="122"/>
      <c r="G769" s="122"/>
    </row>
    <row r="770">
      <c r="F770" s="122"/>
      <c r="G770" s="122"/>
    </row>
    <row r="771">
      <c r="F771" s="122"/>
      <c r="G771" s="122"/>
    </row>
    <row r="772">
      <c r="F772" s="122"/>
      <c r="G772" s="122"/>
    </row>
    <row r="773">
      <c r="F773" s="122"/>
      <c r="G773" s="122"/>
    </row>
    <row r="774">
      <c r="F774" s="122"/>
      <c r="G774" s="122"/>
    </row>
    <row r="775">
      <c r="F775" s="122"/>
      <c r="G775" s="122"/>
    </row>
    <row r="776">
      <c r="F776" s="122"/>
      <c r="G776" s="122"/>
    </row>
    <row r="777">
      <c r="F777" s="122"/>
      <c r="G777" s="122"/>
    </row>
    <row r="778">
      <c r="F778" s="122"/>
      <c r="G778" s="122"/>
    </row>
    <row r="779">
      <c r="F779" s="122"/>
      <c r="G779" s="122"/>
    </row>
    <row r="780">
      <c r="F780" s="122"/>
      <c r="G780" s="122"/>
    </row>
    <row r="781">
      <c r="F781" s="122"/>
      <c r="G781" s="122"/>
    </row>
    <row r="782">
      <c r="F782" s="122"/>
      <c r="G782" s="122"/>
    </row>
    <row r="783">
      <c r="F783" s="122"/>
      <c r="G783" s="122"/>
    </row>
    <row r="784">
      <c r="F784" s="122"/>
      <c r="G784" s="122"/>
    </row>
    <row r="785">
      <c r="F785" s="122"/>
      <c r="G785" s="122"/>
    </row>
    <row r="786">
      <c r="F786" s="122"/>
      <c r="G786" s="122"/>
    </row>
    <row r="787">
      <c r="F787" s="122"/>
      <c r="G787" s="122"/>
    </row>
    <row r="788">
      <c r="F788" s="122"/>
      <c r="G788" s="122"/>
    </row>
    <row r="789">
      <c r="F789" s="122"/>
      <c r="G789" s="122"/>
    </row>
    <row r="790">
      <c r="F790" s="122"/>
      <c r="G790" s="122"/>
    </row>
    <row r="791">
      <c r="F791" s="122"/>
      <c r="G791" s="122"/>
    </row>
    <row r="792">
      <c r="F792" s="122"/>
      <c r="G792" s="122"/>
    </row>
    <row r="793">
      <c r="F793" s="122"/>
      <c r="G793" s="122"/>
    </row>
    <row r="794">
      <c r="F794" s="122"/>
      <c r="G794" s="122"/>
    </row>
    <row r="795">
      <c r="F795" s="122"/>
      <c r="G795" s="122"/>
    </row>
    <row r="796">
      <c r="F796" s="122"/>
      <c r="G796" s="122"/>
    </row>
    <row r="797">
      <c r="F797" s="122"/>
      <c r="G797" s="122"/>
    </row>
    <row r="798">
      <c r="F798" s="122"/>
      <c r="G798" s="122"/>
    </row>
    <row r="799">
      <c r="F799" s="122"/>
      <c r="G799" s="122"/>
    </row>
    <row r="800">
      <c r="F800" s="122"/>
      <c r="G800" s="122"/>
    </row>
    <row r="801">
      <c r="F801" s="122"/>
      <c r="G801" s="122"/>
    </row>
    <row r="802">
      <c r="F802" s="122"/>
      <c r="G802" s="122"/>
    </row>
    <row r="803">
      <c r="F803" s="122"/>
      <c r="G803" s="122"/>
    </row>
    <row r="804">
      <c r="F804" s="122"/>
      <c r="G804" s="122"/>
    </row>
    <row r="805">
      <c r="F805" s="122"/>
      <c r="G805" s="122"/>
    </row>
    <row r="806">
      <c r="F806" s="122"/>
      <c r="G806" s="122"/>
    </row>
    <row r="807">
      <c r="F807" s="122"/>
      <c r="G807" s="122"/>
    </row>
    <row r="808">
      <c r="F808" s="122"/>
      <c r="G808" s="122"/>
    </row>
    <row r="809">
      <c r="F809" s="122"/>
      <c r="G809" s="122"/>
    </row>
    <row r="810">
      <c r="F810" s="122"/>
      <c r="G810" s="122"/>
    </row>
    <row r="811">
      <c r="F811" s="122"/>
      <c r="G811" s="122"/>
    </row>
    <row r="812">
      <c r="F812" s="122"/>
      <c r="G812" s="122"/>
    </row>
    <row r="813">
      <c r="F813" s="122"/>
      <c r="G813" s="122"/>
    </row>
    <row r="814">
      <c r="F814" s="122"/>
      <c r="G814" s="122"/>
    </row>
    <row r="815">
      <c r="F815" s="122"/>
      <c r="G815" s="122"/>
    </row>
    <row r="816">
      <c r="F816" s="122"/>
      <c r="G816" s="122"/>
    </row>
    <row r="817">
      <c r="F817" s="122"/>
      <c r="G817" s="122"/>
    </row>
    <row r="818">
      <c r="F818" s="122"/>
      <c r="G818" s="122"/>
    </row>
    <row r="819">
      <c r="F819" s="122"/>
      <c r="G819" s="122"/>
    </row>
    <row r="820">
      <c r="F820" s="122"/>
      <c r="G820" s="122"/>
    </row>
    <row r="821">
      <c r="F821" s="122"/>
      <c r="G821" s="122"/>
    </row>
    <row r="822">
      <c r="F822" s="122"/>
      <c r="G822" s="122"/>
    </row>
    <row r="823">
      <c r="F823" s="122"/>
      <c r="G823" s="122"/>
    </row>
    <row r="824">
      <c r="F824" s="122"/>
      <c r="G824" s="122"/>
    </row>
    <row r="825">
      <c r="F825" s="122"/>
      <c r="G825" s="122"/>
    </row>
    <row r="826">
      <c r="F826" s="122"/>
      <c r="G826" s="122"/>
    </row>
    <row r="827">
      <c r="F827" s="122"/>
      <c r="G827" s="122"/>
    </row>
    <row r="828">
      <c r="F828" s="122"/>
      <c r="G828" s="122"/>
    </row>
    <row r="829">
      <c r="F829" s="122"/>
      <c r="G829" s="122"/>
    </row>
    <row r="830">
      <c r="F830" s="122"/>
      <c r="G830" s="122"/>
    </row>
    <row r="831">
      <c r="F831" s="122"/>
      <c r="G831" s="122"/>
    </row>
    <row r="832">
      <c r="F832" s="122"/>
      <c r="G832" s="122"/>
    </row>
    <row r="833">
      <c r="F833" s="122"/>
      <c r="G833" s="122"/>
    </row>
    <row r="834">
      <c r="F834" s="122"/>
      <c r="G834" s="122"/>
    </row>
    <row r="835">
      <c r="F835" s="122"/>
      <c r="G835" s="122"/>
    </row>
    <row r="836">
      <c r="F836" s="122"/>
      <c r="G836" s="122"/>
    </row>
    <row r="837">
      <c r="F837" s="122"/>
      <c r="G837" s="122"/>
    </row>
    <row r="838">
      <c r="F838" s="122"/>
      <c r="G838" s="122"/>
    </row>
    <row r="839">
      <c r="F839" s="122"/>
      <c r="G839" s="122"/>
    </row>
    <row r="840">
      <c r="F840" s="122"/>
      <c r="G840" s="122"/>
    </row>
    <row r="841">
      <c r="F841" s="122"/>
      <c r="G841" s="122"/>
    </row>
    <row r="842">
      <c r="F842" s="122"/>
      <c r="G842" s="122"/>
    </row>
    <row r="843">
      <c r="F843" s="122"/>
      <c r="G843" s="122"/>
    </row>
    <row r="844">
      <c r="F844" s="122"/>
      <c r="G844" s="122"/>
    </row>
    <row r="845">
      <c r="F845" s="122"/>
      <c r="G845" s="122"/>
    </row>
    <row r="846">
      <c r="F846" s="122"/>
      <c r="G846" s="122"/>
    </row>
    <row r="847">
      <c r="F847" s="122"/>
      <c r="G847" s="122"/>
    </row>
    <row r="848">
      <c r="F848" s="122"/>
      <c r="G848" s="122"/>
    </row>
    <row r="849">
      <c r="F849" s="122"/>
      <c r="G849" s="122"/>
    </row>
    <row r="850">
      <c r="F850" s="122"/>
      <c r="G850" s="122"/>
    </row>
    <row r="851">
      <c r="F851" s="122"/>
      <c r="G851" s="122"/>
    </row>
    <row r="852">
      <c r="F852" s="122"/>
      <c r="G852" s="122"/>
    </row>
    <row r="853">
      <c r="F853" s="122"/>
      <c r="G853" s="122"/>
    </row>
    <row r="854">
      <c r="F854" s="122"/>
      <c r="G854" s="122"/>
    </row>
    <row r="855">
      <c r="F855" s="122"/>
      <c r="G855" s="122"/>
    </row>
    <row r="856">
      <c r="F856" s="122"/>
      <c r="G856" s="122"/>
    </row>
    <row r="857">
      <c r="F857" s="122"/>
      <c r="G857" s="122"/>
    </row>
    <row r="858">
      <c r="F858" s="122"/>
      <c r="G858" s="122"/>
    </row>
    <row r="859">
      <c r="F859" s="122"/>
      <c r="G859" s="122"/>
    </row>
    <row r="860">
      <c r="F860" s="122"/>
      <c r="G860" s="122"/>
    </row>
    <row r="861">
      <c r="F861" s="122"/>
      <c r="G861" s="122"/>
    </row>
    <row r="862">
      <c r="F862" s="122"/>
      <c r="G862" s="122"/>
    </row>
    <row r="863">
      <c r="F863" s="122"/>
      <c r="G863" s="122"/>
    </row>
    <row r="864">
      <c r="F864" s="122"/>
      <c r="G864" s="122"/>
    </row>
    <row r="865">
      <c r="F865" s="122"/>
      <c r="G865" s="122"/>
    </row>
    <row r="866">
      <c r="F866" s="122"/>
      <c r="G866" s="122"/>
    </row>
    <row r="867">
      <c r="F867" s="122"/>
      <c r="G867" s="122"/>
    </row>
    <row r="868">
      <c r="F868" s="122"/>
      <c r="G868" s="122"/>
    </row>
    <row r="869">
      <c r="F869" s="122"/>
      <c r="G869" s="122"/>
    </row>
    <row r="870">
      <c r="F870" s="122"/>
      <c r="G870" s="122"/>
    </row>
    <row r="871">
      <c r="F871" s="122"/>
      <c r="G871" s="122"/>
    </row>
    <row r="872">
      <c r="F872" s="122"/>
      <c r="G872" s="122"/>
    </row>
    <row r="873">
      <c r="F873" s="122"/>
      <c r="G873" s="122"/>
    </row>
    <row r="874">
      <c r="F874" s="122"/>
      <c r="G874" s="122"/>
    </row>
    <row r="875">
      <c r="F875" s="122"/>
      <c r="G875" s="122"/>
    </row>
    <row r="876">
      <c r="F876" s="122"/>
      <c r="G876" s="122"/>
    </row>
    <row r="877">
      <c r="F877" s="122"/>
      <c r="G877" s="122"/>
    </row>
    <row r="878">
      <c r="F878" s="122"/>
      <c r="G878" s="122"/>
    </row>
    <row r="879">
      <c r="F879" s="122"/>
      <c r="G879" s="122"/>
    </row>
    <row r="880">
      <c r="F880" s="122"/>
      <c r="G880" s="122"/>
    </row>
    <row r="881">
      <c r="F881" s="122"/>
      <c r="G881" s="122"/>
    </row>
    <row r="882">
      <c r="F882" s="122"/>
      <c r="G882" s="122"/>
    </row>
    <row r="883">
      <c r="F883" s="122"/>
      <c r="G883" s="122"/>
    </row>
    <row r="884">
      <c r="F884" s="122"/>
      <c r="G884" s="122"/>
    </row>
    <row r="885">
      <c r="F885" s="122"/>
      <c r="G885" s="122"/>
    </row>
    <row r="886">
      <c r="F886" s="122"/>
      <c r="G886" s="122"/>
    </row>
    <row r="887">
      <c r="F887" s="122"/>
      <c r="G887" s="122"/>
    </row>
    <row r="888">
      <c r="F888" s="122"/>
      <c r="G888" s="122"/>
    </row>
    <row r="889">
      <c r="F889" s="122"/>
      <c r="G889" s="122"/>
    </row>
    <row r="890">
      <c r="F890" s="122"/>
      <c r="G890" s="122"/>
    </row>
    <row r="891">
      <c r="F891" s="122"/>
      <c r="G891" s="122"/>
    </row>
    <row r="892">
      <c r="F892" s="122"/>
      <c r="G892" s="122"/>
    </row>
    <row r="893">
      <c r="F893" s="122"/>
      <c r="G893" s="122"/>
    </row>
    <row r="894">
      <c r="F894" s="122"/>
      <c r="G894" s="122"/>
    </row>
    <row r="895">
      <c r="F895" s="122"/>
      <c r="G895" s="122"/>
    </row>
    <row r="896">
      <c r="F896" s="122"/>
      <c r="G896" s="122"/>
    </row>
    <row r="897">
      <c r="F897" s="122"/>
      <c r="G897" s="122"/>
    </row>
    <row r="898">
      <c r="F898" s="122"/>
      <c r="G898" s="122"/>
    </row>
    <row r="899">
      <c r="F899" s="122"/>
      <c r="G899" s="122"/>
    </row>
    <row r="900">
      <c r="F900" s="122"/>
      <c r="G900" s="122"/>
    </row>
    <row r="901">
      <c r="F901" s="122"/>
      <c r="G901" s="122"/>
    </row>
    <row r="902">
      <c r="F902" s="122"/>
      <c r="G902" s="122"/>
    </row>
    <row r="903">
      <c r="F903" s="122"/>
      <c r="G903" s="122"/>
    </row>
    <row r="904">
      <c r="F904" s="122"/>
      <c r="G904" s="122"/>
    </row>
    <row r="905">
      <c r="F905" s="122"/>
      <c r="G905" s="122"/>
    </row>
    <row r="906">
      <c r="F906" s="122"/>
      <c r="G906" s="122"/>
    </row>
    <row r="907">
      <c r="F907" s="122"/>
      <c r="G907" s="122"/>
    </row>
    <row r="908">
      <c r="F908" s="122"/>
      <c r="G908" s="122"/>
    </row>
    <row r="909">
      <c r="F909" s="122"/>
      <c r="G909" s="122"/>
    </row>
    <row r="910">
      <c r="F910" s="122"/>
      <c r="G910" s="122"/>
    </row>
    <row r="911">
      <c r="F911" s="122"/>
      <c r="G911" s="122"/>
    </row>
    <row r="912">
      <c r="F912" s="122"/>
      <c r="G912" s="122"/>
    </row>
    <row r="913">
      <c r="F913" s="122"/>
      <c r="G913" s="122"/>
    </row>
    <row r="914">
      <c r="F914" s="122"/>
      <c r="G914" s="122"/>
    </row>
    <row r="915">
      <c r="F915" s="122"/>
      <c r="G915" s="122"/>
    </row>
    <row r="916">
      <c r="F916" s="122"/>
      <c r="G916" s="122"/>
    </row>
    <row r="917">
      <c r="F917" s="122"/>
      <c r="G917" s="122"/>
    </row>
    <row r="918">
      <c r="F918" s="122"/>
      <c r="G918" s="122"/>
    </row>
    <row r="919">
      <c r="F919" s="122"/>
      <c r="G919" s="122"/>
    </row>
    <row r="920">
      <c r="F920" s="122"/>
      <c r="G920" s="122"/>
    </row>
    <row r="921">
      <c r="F921" s="122"/>
      <c r="G921" s="122"/>
    </row>
    <row r="922">
      <c r="F922" s="122"/>
      <c r="G922" s="122"/>
    </row>
    <row r="923">
      <c r="F923" s="122"/>
      <c r="G923" s="122"/>
    </row>
    <row r="924">
      <c r="F924" s="122"/>
      <c r="G924" s="122"/>
    </row>
    <row r="925">
      <c r="F925" s="122"/>
      <c r="G925" s="122"/>
    </row>
    <row r="926">
      <c r="F926" s="122"/>
      <c r="G926" s="122"/>
    </row>
    <row r="927">
      <c r="F927" s="122"/>
      <c r="G927" s="122"/>
    </row>
    <row r="928">
      <c r="F928" s="122"/>
      <c r="G928" s="122"/>
    </row>
    <row r="929">
      <c r="F929" s="122"/>
      <c r="G929" s="122"/>
    </row>
    <row r="930">
      <c r="F930" s="122"/>
      <c r="G930" s="122"/>
    </row>
    <row r="931">
      <c r="F931" s="122"/>
      <c r="G931" s="122"/>
    </row>
    <row r="932">
      <c r="F932" s="122"/>
      <c r="G932" s="122"/>
    </row>
    <row r="933">
      <c r="F933" s="122"/>
      <c r="G933" s="122"/>
    </row>
    <row r="934">
      <c r="F934" s="122"/>
      <c r="G934" s="122"/>
    </row>
    <row r="935">
      <c r="F935" s="122"/>
      <c r="G935" s="122"/>
    </row>
    <row r="936">
      <c r="F936" s="122"/>
      <c r="G936" s="122"/>
    </row>
    <row r="937">
      <c r="F937" s="122"/>
      <c r="G937" s="122"/>
    </row>
    <row r="938">
      <c r="F938" s="122"/>
      <c r="G938" s="122"/>
    </row>
    <row r="939">
      <c r="F939" s="122"/>
      <c r="G939" s="122"/>
    </row>
    <row r="940">
      <c r="F940" s="122"/>
      <c r="G940" s="122"/>
    </row>
    <row r="941">
      <c r="F941" s="122"/>
      <c r="G941" s="122"/>
    </row>
    <row r="942">
      <c r="F942" s="122"/>
      <c r="G942" s="122"/>
    </row>
    <row r="943">
      <c r="F943" s="122"/>
      <c r="G943" s="122"/>
    </row>
    <row r="944">
      <c r="F944" s="122"/>
      <c r="G944" s="122"/>
    </row>
    <row r="945">
      <c r="F945" s="122"/>
      <c r="G945" s="122"/>
    </row>
    <row r="946">
      <c r="F946" s="122"/>
      <c r="G946" s="122"/>
    </row>
    <row r="947">
      <c r="F947" s="122"/>
      <c r="G947" s="122"/>
    </row>
    <row r="948">
      <c r="F948" s="122"/>
      <c r="G948" s="122"/>
    </row>
    <row r="949">
      <c r="F949" s="122"/>
      <c r="G949" s="122"/>
    </row>
    <row r="950">
      <c r="F950" s="122"/>
      <c r="G950" s="122"/>
    </row>
    <row r="951">
      <c r="F951" s="122"/>
      <c r="G951" s="122"/>
    </row>
    <row r="952">
      <c r="F952" s="122"/>
      <c r="G952" s="122"/>
    </row>
    <row r="953">
      <c r="F953" s="122"/>
      <c r="G953" s="122"/>
    </row>
    <row r="954">
      <c r="F954" s="122"/>
      <c r="G954" s="122"/>
    </row>
    <row r="955">
      <c r="F955" s="122"/>
      <c r="G955" s="122"/>
    </row>
    <row r="956">
      <c r="F956" s="122"/>
      <c r="G956" s="122"/>
    </row>
    <row r="957">
      <c r="F957" s="122"/>
      <c r="G957" s="122"/>
    </row>
    <row r="958">
      <c r="F958" s="122"/>
      <c r="G958" s="122"/>
    </row>
    <row r="959">
      <c r="F959" s="122"/>
      <c r="G959" s="122"/>
    </row>
    <row r="960">
      <c r="F960" s="122"/>
      <c r="G960" s="122"/>
    </row>
    <row r="961">
      <c r="F961" s="122"/>
      <c r="G961" s="122"/>
    </row>
    <row r="962">
      <c r="F962" s="122"/>
      <c r="G962" s="122"/>
    </row>
    <row r="963">
      <c r="F963" s="122"/>
      <c r="G963" s="122"/>
    </row>
    <row r="964">
      <c r="F964" s="122"/>
      <c r="G964" s="122"/>
    </row>
    <row r="965">
      <c r="F965" s="122"/>
      <c r="G965" s="122"/>
    </row>
    <row r="966">
      <c r="F966" s="122"/>
      <c r="G966" s="122"/>
    </row>
    <row r="967">
      <c r="F967" s="122"/>
      <c r="G967" s="122"/>
    </row>
    <row r="968">
      <c r="F968" s="122"/>
      <c r="G968" s="122"/>
    </row>
    <row r="969">
      <c r="F969" s="122"/>
      <c r="G969" s="122"/>
    </row>
    <row r="970">
      <c r="F970" s="122"/>
      <c r="G970" s="122"/>
    </row>
    <row r="971">
      <c r="F971" s="122"/>
      <c r="G971" s="122"/>
    </row>
    <row r="972">
      <c r="F972" s="122"/>
      <c r="G972" s="122"/>
    </row>
    <row r="973">
      <c r="F973" s="122"/>
      <c r="G973" s="122"/>
    </row>
    <row r="974">
      <c r="F974" s="122"/>
      <c r="G974" s="122"/>
    </row>
    <row r="975">
      <c r="F975" s="122"/>
      <c r="G975" s="122"/>
    </row>
    <row r="976">
      <c r="F976" s="122"/>
      <c r="G976" s="122"/>
    </row>
    <row r="977">
      <c r="F977" s="122"/>
      <c r="G977" s="122"/>
    </row>
    <row r="978">
      <c r="F978" s="122"/>
      <c r="G978" s="122"/>
    </row>
    <row r="979">
      <c r="F979" s="122"/>
      <c r="G979" s="122"/>
    </row>
    <row r="980">
      <c r="F980" s="122"/>
      <c r="G980" s="122"/>
    </row>
    <row r="981">
      <c r="F981" s="122"/>
      <c r="G981" s="122"/>
    </row>
    <row r="982">
      <c r="F982" s="122"/>
      <c r="G982" s="122"/>
    </row>
    <row r="983">
      <c r="F983" s="122"/>
      <c r="G983" s="122"/>
    </row>
    <row r="984">
      <c r="F984" s="122"/>
      <c r="G984" s="122"/>
    </row>
    <row r="985">
      <c r="F985" s="122"/>
      <c r="G985" s="122"/>
    </row>
    <row r="986">
      <c r="F986" s="122"/>
      <c r="G986" s="122"/>
    </row>
    <row r="987">
      <c r="F987" s="122"/>
      <c r="G987" s="122"/>
    </row>
    <row r="988">
      <c r="F988" s="122"/>
      <c r="G988" s="122"/>
    </row>
    <row r="989">
      <c r="F989" s="122"/>
      <c r="G989" s="122"/>
    </row>
    <row r="990">
      <c r="F990" s="122"/>
      <c r="G990" s="122"/>
    </row>
    <row r="991">
      <c r="F991" s="122"/>
      <c r="G991" s="122"/>
    </row>
    <row r="992">
      <c r="F992" s="122"/>
      <c r="G992" s="122"/>
    </row>
    <row r="993">
      <c r="F993" s="122"/>
      <c r="G993" s="122"/>
    </row>
    <row r="994">
      <c r="F994" s="122"/>
      <c r="G994" s="122"/>
    </row>
    <row r="995">
      <c r="F995" s="122"/>
      <c r="G995" s="122"/>
    </row>
    <row r="996">
      <c r="F996" s="122"/>
      <c r="G996" s="122"/>
    </row>
    <row r="997">
      <c r="F997" s="122"/>
      <c r="G997" s="122"/>
    </row>
    <row r="998">
      <c r="F998" s="122"/>
      <c r="G998" s="122"/>
    </row>
    <row r="999">
      <c r="F999" s="122"/>
      <c r="G999" s="122"/>
    </row>
    <row r="1000">
      <c r="F1000" s="122"/>
      <c r="G1000" s="122"/>
    </row>
    <row r="1001">
      <c r="F1001" s="122"/>
      <c r="G1001" s="122"/>
    </row>
    <row r="1002">
      <c r="F1002" s="122"/>
      <c r="G1002" s="122"/>
    </row>
    <row r="1003">
      <c r="F1003" s="122"/>
      <c r="G1003" s="122"/>
    </row>
    <row r="1004">
      <c r="F1004" s="122"/>
      <c r="G1004" s="122"/>
    </row>
    <row r="1005">
      <c r="F1005" s="122"/>
      <c r="G1005" s="122"/>
    </row>
    <row r="1006">
      <c r="F1006" s="122"/>
      <c r="G1006" s="122"/>
    </row>
    <row r="1007">
      <c r="F1007" s="122"/>
      <c r="G1007" s="122"/>
    </row>
    <row r="1008">
      <c r="F1008" s="122"/>
      <c r="G1008" s="122"/>
    </row>
    <row r="1009">
      <c r="F1009" s="122"/>
      <c r="G1009" s="122"/>
    </row>
    <row r="1010">
      <c r="F1010" s="122"/>
      <c r="G1010" s="122"/>
    </row>
    <row r="1011">
      <c r="F1011" s="122"/>
      <c r="G1011" s="122"/>
    </row>
    <row r="1012">
      <c r="F1012" s="122"/>
      <c r="G1012" s="122"/>
    </row>
    <row r="1013">
      <c r="F1013" s="122"/>
      <c r="G1013" s="122"/>
    </row>
    <row r="1014">
      <c r="F1014" s="122"/>
      <c r="G1014" s="122"/>
    </row>
    <row r="1015">
      <c r="F1015" s="122"/>
      <c r="G1015" s="122"/>
    </row>
    <row r="1016">
      <c r="F1016" s="122"/>
      <c r="G1016" s="122"/>
    </row>
    <row r="1017">
      <c r="F1017" s="122"/>
      <c r="G1017" s="122"/>
    </row>
    <row r="1018">
      <c r="F1018" s="122"/>
      <c r="G1018" s="122"/>
    </row>
    <row r="1019">
      <c r="F1019" s="122"/>
      <c r="G1019" s="122"/>
    </row>
    <row r="1020">
      <c r="F1020" s="122"/>
      <c r="G1020" s="122"/>
    </row>
    <row r="1021">
      <c r="F1021" s="122"/>
      <c r="G1021" s="122"/>
    </row>
    <row r="1022">
      <c r="F1022" s="122"/>
      <c r="G1022" s="122"/>
    </row>
    <row r="1023">
      <c r="F1023" s="122"/>
      <c r="G1023" s="122"/>
    </row>
    <row r="1024">
      <c r="F1024" s="122"/>
      <c r="G1024" s="122"/>
    </row>
    <row r="1025">
      <c r="F1025" s="122"/>
      <c r="G1025" s="122"/>
    </row>
    <row r="1026">
      <c r="F1026" s="122"/>
      <c r="G1026" s="122"/>
    </row>
    <row r="1027">
      <c r="F1027" s="122"/>
      <c r="G1027" s="122"/>
    </row>
    <row r="1028">
      <c r="F1028" s="122"/>
      <c r="G1028" s="122"/>
    </row>
    <row r="1029">
      <c r="F1029" s="122"/>
      <c r="G1029" s="122"/>
    </row>
    <row r="1030">
      <c r="F1030" s="122"/>
      <c r="G1030" s="122"/>
    </row>
    <row r="1031">
      <c r="F1031" s="122"/>
      <c r="G1031" s="122"/>
    </row>
    <row r="1032">
      <c r="F1032" s="122"/>
      <c r="G1032" s="122"/>
    </row>
    <row r="1033">
      <c r="F1033" s="122"/>
      <c r="G1033" s="122"/>
    </row>
    <row r="1034">
      <c r="F1034" s="122"/>
      <c r="G1034" s="122"/>
    </row>
    <row r="1035">
      <c r="F1035" s="122"/>
      <c r="G1035" s="122"/>
    </row>
    <row r="1036">
      <c r="F1036" s="122"/>
      <c r="G1036" s="122"/>
    </row>
    <row r="1037">
      <c r="F1037" s="122"/>
      <c r="G1037" s="122"/>
    </row>
    <row r="1038">
      <c r="F1038" s="122"/>
      <c r="G1038" s="122"/>
    </row>
    <row r="1039">
      <c r="F1039" s="122"/>
      <c r="G1039" s="122"/>
    </row>
    <row r="1040">
      <c r="F1040" s="122"/>
      <c r="G1040" s="122"/>
    </row>
    <row r="1041">
      <c r="F1041" s="122"/>
      <c r="G1041" s="122"/>
    </row>
    <row r="1042">
      <c r="F1042" s="122"/>
      <c r="G1042" s="122"/>
    </row>
    <row r="1043">
      <c r="F1043" s="122"/>
      <c r="G1043" s="122"/>
    </row>
    <row r="1044">
      <c r="F1044" s="122"/>
      <c r="G1044" s="122"/>
    </row>
    <row r="1045">
      <c r="F1045" s="122"/>
      <c r="G1045" s="122"/>
    </row>
    <row r="1046">
      <c r="F1046" s="122"/>
      <c r="G1046" s="122"/>
    </row>
    <row r="1047">
      <c r="F1047" s="122"/>
      <c r="G1047" s="122"/>
    </row>
    <row r="1048">
      <c r="F1048" s="122"/>
      <c r="G1048" s="122"/>
    </row>
    <row r="1049">
      <c r="F1049" s="122"/>
      <c r="G1049" s="122"/>
    </row>
    <row r="1050">
      <c r="F1050" s="122"/>
      <c r="G1050" s="122"/>
    </row>
    <row r="1051">
      <c r="F1051" s="122"/>
      <c r="G1051" s="122"/>
    </row>
    <row r="1052">
      <c r="F1052" s="122"/>
      <c r="G1052" s="122"/>
    </row>
    <row r="1053">
      <c r="F1053" s="122"/>
      <c r="G1053" s="122"/>
    </row>
    <row r="1054">
      <c r="F1054" s="122"/>
      <c r="G1054" s="122"/>
    </row>
    <row r="1055">
      <c r="F1055" s="122"/>
      <c r="G1055" s="122"/>
    </row>
    <row r="1056">
      <c r="F1056" s="122"/>
      <c r="G1056" s="122"/>
    </row>
    <row r="1057">
      <c r="F1057" s="122"/>
      <c r="G1057" s="122"/>
    </row>
    <row r="1058">
      <c r="F1058" s="122"/>
      <c r="G1058" s="122"/>
    </row>
    <row r="1059">
      <c r="F1059" s="122"/>
      <c r="G1059" s="122"/>
    </row>
    <row r="1060">
      <c r="F1060" s="122"/>
      <c r="G1060" s="122"/>
    </row>
    <row r="1061">
      <c r="F1061" s="122"/>
      <c r="G1061" s="122"/>
    </row>
    <row r="1062">
      <c r="F1062" s="122"/>
      <c r="G1062" s="122"/>
    </row>
    <row r="1063">
      <c r="F1063" s="122"/>
      <c r="G1063" s="122"/>
    </row>
    <row r="1064">
      <c r="F1064" s="122"/>
      <c r="G1064" s="122"/>
    </row>
    <row r="1065">
      <c r="F1065" s="122"/>
      <c r="G1065" s="122"/>
    </row>
    <row r="1066">
      <c r="F1066" s="122"/>
      <c r="G1066" s="122"/>
    </row>
    <row r="1067">
      <c r="F1067" s="122"/>
      <c r="G1067" s="122"/>
    </row>
    <row r="1068">
      <c r="F1068" s="122"/>
      <c r="G1068" s="122"/>
    </row>
    <row r="1069">
      <c r="F1069" s="122"/>
      <c r="G1069" s="122"/>
    </row>
    <row r="1070">
      <c r="F1070" s="122"/>
      <c r="G1070" s="122"/>
    </row>
    <row r="1071">
      <c r="F1071" s="122"/>
      <c r="G1071" s="122"/>
    </row>
    <row r="1072">
      <c r="F1072" s="122"/>
      <c r="G1072" s="122"/>
    </row>
    <row r="1073">
      <c r="F1073" s="122"/>
      <c r="G1073" s="122"/>
    </row>
    <row r="1074">
      <c r="F1074" s="122"/>
      <c r="G1074" s="122"/>
    </row>
    <row r="1075">
      <c r="F1075" s="122"/>
      <c r="G1075" s="122"/>
    </row>
    <row r="1076">
      <c r="F1076" s="122"/>
      <c r="G1076" s="122"/>
    </row>
    <row r="1077">
      <c r="F1077" s="122"/>
      <c r="G1077" s="122"/>
    </row>
    <row r="1078">
      <c r="F1078" s="122"/>
      <c r="G1078" s="122"/>
    </row>
    <row r="1079">
      <c r="F1079" s="122"/>
      <c r="G1079" s="122"/>
    </row>
    <row r="1080">
      <c r="F1080" s="122"/>
      <c r="G1080" s="122"/>
    </row>
    <row r="1081">
      <c r="F1081" s="122"/>
      <c r="G1081" s="122"/>
    </row>
    <row r="1082">
      <c r="F1082" s="122"/>
      <c r="G1082" s="122"/>
    </row>
    <row r="1083">
      <c r="F1083" s="122"/>
      <c r="G1083" s="122"/>
    </row>
    <row r="1084">
      <c r="F1084" s="122"/>
      <c r="G1084" s="122"/>
    </row>
    <row r="1085">
      <c r="F1085" s="122"/>
      <c r="G1085" s="122"/>
    </row>
    <row r="1086">
      <c r="F1086" s="122"/>
      <c r="G1086" s="122"/>
    </row>
    <row r="1087">
      <c r="F1087" s="122"/>
      <c r="G1087" s="122"/>
    </row>
    <row r="1088">
      <c r="F1088" s="122"/>
      <c r="G1088" s="122"/>
    </row>
    <row r="1089">
      <c r="F1089" s="122"/>
      <c r="G1089" s="122"/>
    </row>
    <row r="1090">
      <c r="F1090" s="122"/>
      <c r="G1090" s="122"/>
    </row>
    <row r="1091">
      <c r="F1091" s="122"/>
      <c r="G1091" s="122"/>
    </row>
    <row r="1092">
      <c r="F1092" s="122"/>
      <c r="G1092" s="122"/>
    </row>
    <row r="1093">
      <c r="F1093" s="122"/>
      <c r="G1093" s="122"/>
    </row>
    <row r="1094">
      <c r="F1094" s="122"/>
      <c r="G1094" s="122"/>
    </row>
    <row r="1095">
      <c r="F1095" s="122"/>
      <c r="G1095" s="122"/>
    </row>
    <row r="1096">
      <c r="F1096" s="122"/>
      <c r="G1096" s="122"/>
    </row>
    <row r="1097">
      <c r="F1097" s="122"/>
      <c r="G1097" s="122"/>
    </row>
    <row r="1098">
      <c r="F1098" s="122"/>
      <c r="G1098" s="122"/>
    </row>
    <row r="1099">
      <c r="F1099" s="122"/>
      <c r="G1099" s="122"/>
    </row>
    <row r="1100">
      <c r="F1100" s="122"/>
      <c r="G1100" s="122"/>
    </row>
    <row r="1101">
      <c r="F1101" s="122"/>
      <c r="G1101" s="122"/>
    </row>
    <row r="1102">
      <c r="F1102" s="122"/>
      <c r="G1102" s="122"/>
    </row>
    <row r="1103">
      <c r="F1103" s="122"/>
      <c r="G1103" s="122"/>
    </row>
    <row r="1104">
      <c r="F1104" s="122"/>
      <c r="G1104" s="122"/>
    </row>
    <row r="1105">
      <c r="F1105" s="122"/>
      <c r="G1105" s="122"/>
    </row>
    <row r="1106">
      <c r="F1106" s="122"/>
      <c r="G1106" s="122"/>
    </row>
    <row r="1107">
      <c r="F1107" s="122"/>
      <c r="G1107" s="122"/>
    </row>
    <row r="1108">
      <c r="F1108" s="122"/>
      <c r="G1108" s="122"/>
    </row>
    <row r="1109">
      <c r="F1109" s="122"/>
      <c r="G1109" s="122"/>
    </row>
    <row r="1110">
      <c r="F1110" s="122"/>
      <c r="G1110" s="122"/>
    </row>
    <row r="1111">
      <c r="F1111" s="122"/>
      <c r="G1111" s="122"/>
    </row>
    <row r="1112">
      <c r="F1112" s="122"/>
      <c r="G1112" s="122"/>
    </row>
    <row r="1113">
      <c r="F1113" s="122"/>
      <c r="G1113" s="122"/>
    </row>
    <row r="1114">
      <c r="F1114" s="122"/>
      <c r="G1114" s="122"/>
    </row>
    <row r="1115">
      <c r="F1115" s="122"/>
      <c r="G1115" s="122"/>
    </row>
    <row r="1116">
      <c r="F1116" s="122"/>
      <c r="G1116" s="122"/>
    </row>
    <row r="1117">
      <c r="F1117" s="122"/>
      <c r="G1117" s="122"/>
    </row>
    <row r="1118">
      <c r="F1118" s="122"/>
      <c r="G1118" s="122"/>
    </row>
    <row r="1119">
      <c r="F1119" s="122"/>
      <c r="G1119" s="122"/>
    </row>
    <row r="1120">
      <c r="F1120" s="122"/>
      <c r="G1120" s="122"/>
    </row>
    <row r="1121">
      <c r="F1121" s="122"/>
      <c r="G1121" s="122"/>
    </row>
    <row r="1122">
      <c r="F1122" s="122"/>
      <c r="G1122" s="122"/>
    </row>
    <row r="1123">
      <c r="F1123" s="122"/>
      <c r="G1123" s="122"/>
    </row>
    <row r="1124">
      <c r="F1124" s="122"/>
      <c r="G1124" s="122"/>
    </row>
    <row r="1125">
      <c r="F1125" s="122"/>
      <c r="G1125" s="122"/>
    </row>
    <row r="1126">
      <c r="F1126" s="122"/>
      <c r="G1126" s="122"/>
    </row>
    <row r="1127">
      <c r="F1127" s="122"/>
      <c r="G1127" s="122"/>
    </row>
    <row r="1128">
      <c r="F1128" s="122"/>
      <c r="G1128" s="122"/>
    </row>
    <row r="1129">
      <c r="F1129" s="122"/>
      <c r="G1129" s="122"/>
    </row>
    <row r="1130">
      <c r="F1130" s="122"/>
      <c r="G1130" s="122"/>
    </row>
    <row r="1131">
      <c r="F1131" s="122"/>
      <c r="G1131" s="122"/>
    </row>
    <row r="1132">
      <c r="F1132" s="122"/>
      <c r="G1132" s="122"/>
    </row>
    <row r="1133">
      <c r="F1133" s="122"/>
      <c r="G1133" s="122"/>
    </row>
    <row r="1134">
      <c r="F1134" s="122"/>
      <c r="G1134" s="122"/>
    </row>
    <row r="1135">
      <c r="F1135" s="122"/>
      <c r="G1135" s="122"/>
    </row>
    <row r="1136">
      <c r="F1136" s="122"/>
      <c r="G1136" s="122"/>
    </row>
    <row r="1137">
      <c r="F1137" s="122"/>
      <c r="G1137" s="122"/>
    </row>
    <row r="1138">
      <c r="F1138" s="122"/>
      <c r="G1138" s="122"/>
    </row>
    <row r="1139">
      <c r="F1139" s="122"/>
      <c r="G1139" s="122"/>
    </row>
    <row r="1140">
      <c r="F1140" s="122"/>
      <c r="G1140" s="122"/>
    </row>
    <row r="1141">
      <c r="F1141" s="122"/>
      <c r="G1141" s="122"/>
    </row>
    <row r="1142">
      <c r="F1142" s="122"/>
      <c r="G1142" s="122"/>
    </row>
    <row r="1143">
      <c r="F1143" s="122"/>
      <c r="G1143" s="122"/>
    </row>
    <row r="1144">
      <c r="F1144" s="122"/>
      <c r="G1144" s="122"/>
    </row>
    <row r="1145">
      <c r="F1145" s="122"/>
      <c r="G1145" s="122"/>
    </row>
    <row r="1146">
      <c r="F1146" s="122"/>
      <c r="G1146" s="122"/>
    </row>
    <row r="1147">
      <c r="F1147" s="122"/>
      <c r="G1147" s="122"/>
    </row>
    <row r="1148">
      <c r="F1148" s="122"/>
      <c r="G1148" s="122"/>
    </row>
    <row r="1149">
      <c r="F1149" s="122"/>
      <c r="G1149" s="122"/>
    </row>
    <row r="1150">
      <c r="F1150" s="122"/>
      <c r="G1150" s="122"/>
    </row>
    <row r="1151">
      <c r="F1151" s="122"/>
      <c r="G1151" s="122"/>
    </row>
    <row r="1152">
      <c r="F1152" s="122"/>
      <c r="G1152" s="122"/>
    </row>
    <row r="1153">
      <c r="F1153" s="122"/>
      <c r="G1153" s="122"/>
    </row>
    <row r="1154">
      <c r="F1154" s="122"/>
      <c r="G1154" s="122"/>
    </row>
    <row r="1155">
      <c r="F1155" s="122"/>
      <c r="G1155" s="122"/>
    </row>
    <row r="1156">
      <c r="F1156" s="122"/>
      <c r="G1156" s="122"/>
    </row>
    <row r="1157">
      <c r="F1157" s="122"/>
      <c r="G1157" s="122"/>
    </row>
    <row r="1158">
      <c r="F1158" s="122"/>
      <c r="G1158" s="122"/>
    </row>
    <row r="1159">
      <c r="F1159" s="122"/>
      <c r="G1159" s="122"/>
    </row>
    <row r="1160">
      <c r="F1160" s="122"/>
      <c r="G1160" s="122"/>
    </row>
    <row r="1161">
      <c r="F1161" s="122"/>
      <c r="G1161" s="122"/>
    </row>
    <row r="1162">
      <c r="F1162" s="122"/>
      <c r="G1162" s="122"/>
    </row>
    <row r="1163">
      <c r="F1163" s="122"/>
      <c r="G1163" s="122"/>
    </row>
    <row r="1164">
      <c r="F1164" s="122"/>
      <c r="G1164" s="122"/>
    </row>
    <row r="1165">
      <c r="F1165" s="122"/>
      <c r="G1165" s="122"/>
    </row>
    <row r="1166">
      <c r="F1166" s="122"/>
      <c r="G1166" s="122"/>
    </row>
    <row r="1167">
      <c r="F1167" s="122"/>
      <c r="G1167" s="122"/>
    </row>
    <row r="1168">
      <c r="F1168" s="122"/>
      <c r="G1168" s="122"/>
    </row>
    <row r="1169">
      <c r="F1169" s="122"/>
      <c r="G1169" s="122"/>
    </row>
    <row r="1170">
      <c r="F1170" s="122"/>
      <c r="G1170" s="122"/>
    </row>
    <row r="1171">
      <c r="F1171" s="122"/>
      <c r="G1171" s="122"/>
    </row>
    <row r="1172">
      <c r="F1172" s="122"/>
      <c r="G1172" s="122"/>
    </row>
    <row r="1173">
      <c r="F1173" s="122"/>
      <c r="G1173" s="122"/>
    </row>
    <row r="1174">
      <c r="F1174" s="122"/>
      <c r="G1174" s="122"/>
    </row>
    <row r="1175">
      <c r="F1175" s="122"/>
      <c r="G1175" s="122"/>
    </row>
    <row r="1176">
      <c r="F1176" s="122"/>
      <c r="G1176" s="122"/>
    </row>
    <row r="1177">
      <c r="F1177" s="122"/>
      <c r="G1177" s="122"/>
    </row>
    <row r="1178">
      <c r="F1178" s="122"/>
      <c r="G1178" s="122"/>
    </row>
    <row r="1179">
      <c r="F1179" s="122"/>
      <c r="G1179" s="122"/>
    </row>
    <row r="1180">
      <c r="F1180" s="122"/>
      <c r="G1180" s="122"/>
    </row>
    <row r="1181">
      <c r="F1181" s="122"/>
      <c r="G1181" s="122"/>
    </row>
    <row r="1182">
      <c r="F1182" s="122"/>
      <c r="G1182" s="122"/>
    </row>
    <row r="1183">
      <c r="F1183" s="122"/>
      <c r="G1183" s="122"/>
    </row>
    <row r="1184">
      <c r="F1184" s="122"/>
      <c r="G1184" s="122"/>
    </row>
    <row r="1185">
      <c r="F1185" s="122"/>
      <c r="G1185" s="122"/>
    </row>
    <row r="1186">
      <c r="F1186" s="122"/>
      <c r="G1186" s="122"/>
    </row>
    <row r="1187">
      <c r="F1187" s="122"/>
      <c r="G1187" s="122"/>
    </row>
    <row r="1188">
      <c r="F1188" s="122"/>
      <c r="G1188" s="122"/>
    </row>
    <row r="1189">
      <c r="F1189" s="122"/>
      <c r="G1189" s="122"/>
    </row>
    <row r="1190">
      <c r="F1190" s="122"/>
      <c r="G1190" s="122"/>
    </row>
    <row r="1191">
      <c r="F1191" s="122"/>
      <c r="G1191" s="122"/>
    </row>
    <row r="1192">
      <c r="F1192" s="122"/>
      <c r="G1192" s="122"/>
    </row>
    <row r="1193">
      <c r="F1193" s="122"/>
      <c r="G1193" s="122"/>
    </row>
    <row r="1194">
      <c r="F1194" s="122"/>
      <c r="G1194" s="122"/>
    </row>
    <row r="1195">
      <c r="F1195" s="122"/>
      <c r="G1195" s="122"/>
    </row>
    <row r="1196">
      <c r="F1196" s="122"/>
      <c r="G1196" s="122"/>
    </row>
    <row r="1197">
      <c r="F1197" s="122"/>
      <c r="G1197" s="122"/>
    </row>
    <row r="1198">
      <c r="F1198" s="122"/>
      <c r="G1198" s="122"/>
    </row>
    <row r="1199">
      <c r="F1199" s="122"/>
      <c r="G1199" s="122"/>
    </row>
    <row r="1200">
      <c r="F1200" s="122"/>
      <c r="G1200" s="122"/>
    </row>
    <row r="1201">
      <c r="F1201" s="122"/>
      <c r="G1201" s="122"/>
    </row>
    <row r="1202">
      <c r="F1202" s="122"/>
      <c r="G1202" s="122"/>
    </row>
    <row r="1203">
      <c r="F1203" s="122"/>
      <c r="G1203" s="122"/>
    </row>
    <row r="1204">
      <c r="F1204" s="122"/>
      <c r="G1204" s="122"/>
    </row>
    <row r="1205">
      <c r="F1205" s="122"/>
      <c r="G1205" s="122"/>
    </row>
    <row r="1206">
      <c r="F1206" s="122"/>
      <c r="G1206" s="122"/>
    </row>
    <row r="1207">
      <c r="F1207" s="122"/>
      <c r="G1207" s="122"/>
    </row>
    <row r="1208">
      <c r="F1208" s="122"/>
      <c r="G1208" s="122"/>
    </row>
    <row r="1209">
      <c r="F1209" s="122"/>
      <c r="G1209" s="122"/>
    </row>
    <row r="1210">
      <c r="F1210" s="122"/>
      <c r="G1210" s="122"/>
    </row>
    <row r="1211">
      <c r="F1211" s="122"/>
      <c r="G1211" s="122"/>
    </row>
    <row r="1212">
      <c r="F1212" s="122"/>
      <c r="G1212" s="122"/>
    </row>
    <row r="1213">
      <c r="F1213" s="122"/>
      <c r="G1213" s="122"/>
    </row>
    <row r="1214">
      <c r="F1214" s="122"/>
      <c r="G1214" s="122"/>
    </row>
    <row r="1215">
      <c r="F1215" s="122"/>
      <c r="G1215" s="122"/>
    </row>
    <row r="1216">
      <c r="F1216" s="122"/>
      <c r="G1216" s="122"/>
    </row>
    <row r="1217">
      <c r="F1217" s="122"/>
      <c r="G1217" s="122"/>
    </row>
    <row r="1218">
      <c r="F1218" s="122"/>
      <c r="G1218" s="122"/>
    </row>
    <row r="1219">
      <c r="F1219" s="122"/>
      <c r="G1219" s="122"/>
    </row>
    <row r="1220">
      <c r="F1220" s="122"/>
      <c r="G1220" s="122"/>
    </row>
    <row r="1221">
      <c r="F1221" s="122"/>
      <c r="G1221" s="122"/>
    </row>
    <row r="1222">
      <c r="F1222" s="122"/>
      <c r="G1222" s="122"/>
    </row>
    <row r="1223">
      <c r="F1223" s="122"/>
      <c r="G1223" s="122"/>
    </row>
    <row r="1224">
      <c r="F1224" s="122"/>
      <c r="G1224" s="122"/>
    </row>
    <row r="1225">
      <c r="F1225" s="122"/>
      <c r="G1225" s="122"/>
    </row>
    <row r="1226">
      <c r="F1226" s="122"/>
      <c r="G1226" s="122"/>
    </row>
    <row r="1227">
      <c r="F1227" s="122"/>
      <c r="G1227" s="122"/>
    </row>
    <row r="1228">
      <c r="F1228" s="122"/>
      <c r="G1228" s="122"/>
    </row>
    <row r="1229">
      <c r="F1229" s="122"/>
      <c r="G1229" s="122"/>
    </row>
    <row r="1230">
      <c r="F1230" s="122"/>
      <c r="G1230" s="122"/>
    </row>
    <row r="1231">
      <c r="F1231" s="122"/>
      <c r="G1231" s="122"/>
    </row>
    <row r="1232">
      <c r="F1232" s="122"/>
      <c r="G1232" s="122"/>
    </row>
    <row r="1233">
      <c r="F1233" s="122"/>
      <c r="G1233" s="122"/>
    </row>
    <row r="1234">
      <c r="F1234" s="122"/>
      <c r="G1234" s="122"/>
    </row>
    <row r="1235">
      <c r="F1235" s="122"/>
      <c r="G1235" s="122"/>
    </row>
    <row r="1236">
      <c r="F1236" s="122"/>
      <c r="G1236" s="122"/>
    </row>
    <row r="1237">
      <c r="F1237" s="122"/>
      <c r="G1237" s="122"/>
    </row>
    <row r="1238">
      <c r="F1238" s="122"/>
      <c r="G1238" s="122"/>
    </row>
    <row r="1239">
      <c r="F1239" s="122"/>
      <c r="G1239" s="122"/>
    </row>
    <row r="1240">
      <c r="F1240" s="122"/>
      <c r="G1240" s="122"/>
    </row>
    <row r="1241">
      <c r="F1241" s="122"/>
      <c r="G1241" s="122"/>
    </row>
    <row r="1242">
      <c r="F1242" s="122"/>
      <c r="G1242" s="122"/>
    </row>
    <row r="1243">
      <c r="F1243" s="122"/>
      <c r="G1243" s="122"/>
    </row>
    <row r="1244">
      <c r="F1244" s="122"/>
      <c r="G1244" s="122"/>
    </row>
    <row r="1245">
      <c r="F1245" s="122"/>
      <c r="G1245" s="122"/>
    </row>
    <row r="1246">
      <c r="F1246" s="122"/>
      <c r="G1246" s="122"/>
    </row>
    <row r="1247">
      <c r="F1247" s="122"/>
      <c r="G1247" s="122"/>
    </row>
    <row r="1248">
      <c r="F1248" s="122"/>
      <c r="G1248" s="122"/>
    </row>
    <row r="1249">
      <c r="F1249" s="122"/>
      <c r="G1249" s="122"/>
    </row>
    <row r="1250">
      <c r="F1250" s="122"/>
      <c r="G1250" s="122"/>
    </row>
    <row r="1251">
      <c r="F1251" s="122"/>
      <c r="G1251" s="122"/>
    </row>
    <row r="1252">
      <c r="F1252" s="122"/>
      <c r="G1252" s="122"/>
    </row>
    <row r="1253">
      <c r="F1253" s="122"/>
      <c r="G1253" s="122"/>
    </row>
    <row r="1254">
      <c r="F1254" s="122"/>
      <c r="G1254" s="122"/>
    </row>
    <row r="1255">
      <c r="F1255" s="122"/>
      <c r="G1255" s="122"/>
    </row>
    <row r="1256">
      <c r="F1256" s="122"/>
      <c r="G1256" s="122"/>
    </row>
    <row r="1257">
      <c r="F1257" s="122"/>
      <c r="G1257" s="122"/>
    </row>
    <row r="1258">
      <c r="F1258" s="122"/>
      <c r="G1258" s="122"/>
    </row>
  </sheetData>
  <mergeCells count="70">
    <mergeCell ref="A328:G328"/>
    <mergeCell ref="A337:G337"/>
    <mergeCell ref="A273:G273"/>
    <mergeCell ref="A275:H275"/>
    <mergeCell ref="A284:G284"/>
    <mergeCell ref="A292:G292"/>
    <mergeCell ref="A301:G301"/>
    <mergeCell ref="A310:G310"/>
    <mergeCell ref="A319:G319"/>
    <mergeCell ref="A285:C286"/>
    <mergeCell ref="A401:G401"/>
    <mergeCell ref="A410:G410"/>
    <mergeCell ref="A346:G346"/>
    <mergeCell ref="A355:G355"/>
    <mergeCell ref="A364:G364"/>
    <mergeCell ref="A366:H366"/>
    <mergeCell ref="A374:G374"/>
    <mergeCell ref="A383:G383"/>
    <mergeCell ref="A392:G392"/>
    <mergeCell ref="A541:B541"/>
    <mergeCell ref="A547:G547"/>
    <mergeCell ref="E549:G549"/>
    <mergeCell ref="A554:G554"/>
    <mergeCell ref="A555:H555"/>
    <mergeCell ref="A556:H558"/>
    <mergeCell ref="A536:G536"/>
    <mergeCell ref="E538:G538"/>
    <mergeCell ref="A496:G496"/>
    <mergeCell ref="A504:G504"/>
    <mergeCell ref="A512:G512"/>
    <mergeCell ref="A520:G520"/>
    <mergeCell ref="A528:G528"/>
    <mergeCell ref="A1:H1"/>
    <mergeCell ref="A2:H2"/>
    <mergeCell ref="A3:H3"/>
    <mergeCell ref="A4:H4"/>
    <mergeCell ref="A5:H5"/>
    <mergeCell ref="A6:H6"/>
    <mergeCell ref="A14:G14"/>
    <mergeCell ref="A31:G31"/>
    <mergeCell ref="A47:G47"/>
    <mergeCell ref="A63:G63"/>
    <mergeCell ref="A79:G79"/>
    <mergeCell ref="A95:G95"/>
    <mergeCell ref="A111:G111"/>
    <mergeCell ref="A127:G127"/>
    <mergeCell ref="A144:G144"/>
    <mergeCell ref="A161:G161"/>
    <mergeCell ref="A178:G178"/>
    <mergeCell ref="A185:G185"/>
    <mergeCell ref="A187:H187"/>
    <mergeCell ref="A201:G201"/>
    <mergeCell ref="A209:G209"/>
    <mergeCell ref="A217:G217"/>
    <mergeCell ref="A225:G225"/>
    <mergeCell ref="A233:G233"/>
    <mergeCell ref="A241:G241"/>
    <mergeCell ref="A249:G249"/>
    <mergeCell ref="A257:G257"/>
    <mergeCell ref="A265:G265"/>
    <mergeCell ref="A419:G419"/>
    <mergeCell ref="A428:G428"/>
    <mergeCell ref="A437:G437"/>
    <mergeCell ref="A446:G446"/>
    <mergeCell ref="A455:G455"/>
    <mergeCell ref="A457:H457"/>
    <mergeCell ref="A464:G464"/>
    <mergeCell ref="A472:G472"/>
    <mergeCell ref="A480:G480"/>
    <mergeCell ref="A488:G488"/>
  </mergeCells>
  <dataValidations>
    <dataValidation type="list" allowBlank="1" showErrorMessage="1" sqref="B287">
      <formula1>"1%,2%,3%,4%,5%,6%,7%,8%,9%,10%,11%,12%,13%,14%,15%,16%,17%,18%,19%,20%"</formula1>
    </dataValidation>
    <dataValidation type="list" allowBlank="1" showErrorMessage="1" sqref="B288">
      <formula1>"1%,2%,3%,4%,5%,6%,7%,8%,9%,10%,11%,12%,13%,14%,15%"</formula1>
    </dataValidation>
    <dataValidation type="list" allowBlank="1" showErrorMessage="1" sqref="B289">
      <formula1>"1%,2%,3%,4%,5%,6%,7%,8%,9%,10%"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8" max="8" width="25.38"/>
    <col customWidth="1" min="9" max="9" width="27.25"/>
  </cols>
  <sheetData>
    <row r="1">
      <c r="A1" s="123" t="s">
        <v>61</v>
      </c>
      <c r="B1" s="9"/>
      <c r="C1" s="9"/>
      <c r="D1" s="9"/>
      <c r="E1" s="9"/>
      <c r="F1" s="9"/>
      <c r="G1" s="9"/>
      <c r="H1" s="10"/>
    </row>
    <row r="2">
      <c r="A2" s="11"/>
      <c r="B2" s="12"/>
      <c r="C2" s="12"/>
      <c r="D2" s="12"/>
      <c r="E2" s="12"/>
      <c r="F2" s="12"/>
      <c r="G2" s="12"/>
      <c r="H2" s="13"/>
    </row>
    <row r="3">
      <c r="A3" s="124" t="s">
        <v>62</v>
      </c>
      <c r="B3" s="12"/>
      <c r="C3" s="12"/>
      <c r="D3" s="12"/>
      <c r="E3" s="12"/>
      <c r="F3" s="12"/>
      <c r="G3" s="12"/>
      <c r="H3" s="13"/>
    </row>
    <row r="4">
      <c r="A4" s="125" t="s">
        <v>63</v>
      </c>
      <c r="B4" s="12"/>
      <c r="C4" s="12"/>
      <c r="D4" s="12"/>
      <c r="E4" s="12"/>
      <c r="F4" s="12"/>
      <c r="G4" s="12"/>
      <c r="H4" s="13"/>
    </row>
    <row r="5">
      <c r="A5" s="126" t="s">
        <v>64</v>
      </c>
      <c r="B5" s="12"/>
      <c r="C5" s="12"/>
      <c r="D5" s="12"/>
      <c r="E5" s="12"/>
      <c r="F5" s="12"/>
      <c r="G5" s="12"/>
      <c r="H5" s="13"/>
    </row>
    <row r="6">
      <c r="A6" s="127" t="s">
        <v>65</v>
      </c>
      <c r="B6" s="12"/>
      <c r="C6" s="12"/>
      <c r="D6" s="12"/>
      <c r="E6" s="12"/>
      <c r="F6" s="12"/>
      <c r="G6" s="12"/>
      <c r="H6" s="13"/>
    </row>
    <row r="7">
      <c r="A7" s="128" t="s">
        <v>66</v>
      </c>
      <c r="B7" s="129" t="s">
        <v>67</v>
      </c>
      <c r="C7" s="130" t="s">
        <v>68</v>
      </c>
      <c r="D7" s="130" t="s">
        <v>69</v>
      </c>
      <c r="E7" s="130" t="s">
        <v>70</v>
      </c>
      <c r="F7" s="131" t="s">
        <v>71</v>
      </c>
      <c r="G7" s="132" t="s">
        <v>72</v>
      </c>
      <c r="H7" s="133" t="s">
        <v>73</v>
      </c>
    </row>
    <row r="8">
      <c r="A8" s="134" t="s">
        <v>74</v>
      </c>
      <c r="B8" s="135" t="s">
        <v>75</v>
      </c>
      <c r="C8" s="135">
        <v>270.0</v>
      </c>
      <c r="D8" s="135">
        <v>1.0</v>
      </c>
      <c r="E8" s="135">
        <v>7.0</v>
      </c>
      <c r="F8" s="136">
        <v>4000.0</v>
      </c>
      <c r="G8" s="137">
        <f t="shared" ref="G8:G15" si="1">SUM(D8*E8*F8)</f>
        <v>28000</v>
      </c>
      <c r="H8" s="138" t="s">
        <v>76</v>
      </c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</row>
    <row r="9">
      <c r="A9" s="134" t="s">
        <v>77</v>
      </c>
      <c r="B9" s="135" t="s">
        <v>75</v>
      </c>
      <c r="C9" s="135">
        <v>270.0</v>
      </c>
      <c r="D9" s="135">
        <v>1.0</v>
      </c>
      <c r="E9" s="135">
        <v>1.0</v>
      </c>
      <c r="F9" s="136">
        <v>15000.0</v>
      </c>
      <c r="G9" s="137">
        <f t="shared" si="1"/>
        <v>15000</v>
      </c>
      <c r="H9" s="139" t="s">
        <v>78</v>
      </c>
      <c r="I9" s="91"/>
    </row>
    <row r="10">
      <c r="A10" s="134" t="s">
        <v>79</v>
      </c>
      <c r="B10" s="135" t="s">
        <v>80</v>
      </c>
      <c r="C10" s="135">
        <v>270.0</v>
      </c>
      <c r="D10" s="135">
        <v>30.0</v>
      </c>
      <c r="E10" s="135">
        <v>1.0</v>
      </c>
      <c r="F10" s="136">
        <v>200.0</v>
      </c>
      <c r="G10" s="137">
        <f t="shared" si="1"/>
        <v>6000</v>
      </c>
      <c r="H10" s="139" t="s">
        <v>81</v>
      </c>
    </row>
    <row r="11">
      <c r="A11" s="134" t="s">
        <v>82</v>
      </c>
      <c r="B11" s="135" t="s">
        <v>67</v>
      </c>
      <c r="C11" s="135">
        <v>270.0</v>
      </c>
      <c r="D11" s="135">
        <v>30.0</v>
      </c>
      <c r="E11" s="135">
        <v>1.0</v>
      </c>
      <c r="F11" s="136">
        <v>1000.0</v>
      </c>
      <c r="G11" s="137">
        <f t="shared" si="1"/>
        <v>30000</v>
      </c>
      <c r="H11" s="139" t="s">
        <v>83</v>
      </c>
      <c r="I11" s="91"/>
    </row>
    <row r="12">
      <c r="A12" s="134" t="s">
        <v>84</v>
      </c>
      <c r="B12" s="135" t="s">
        <v>85</v>
      </c>
      <c r="C12" s="135">
        <v>270.0</v>
      </c>
      <c r="D12" s="135">
        <v>2.0</v>
      </c>
      <c r="E12" s="135">
        <v>4.0</v>
      </c>
      <c r="F12" s="136">
        <v>500.0</v>
      </c>
      <c r="G12" s="137">
        <f t="shared" si="1"/>
        <v>4000</v>
      </c>
      <c r="H12" s="139" t="s">
        <v>86</v>
      </c>
      <c r="I12" s="91"/>
    </row>
    <row r="13">
      <c r="A13" s="134" t="s">
        <v>87</v>
      </c>
      <c r="B13" s="135" t="s">
        <v>80</v>
      </c>
      <c r="C13" s="135">
        <v>270.0</v>
      </c>
      <c r="D13" s="135">
        <v>1.0</v>
      </c>
      <c r="E13" s="135">
        <v>1.0</v>
      </c>
      <c r="F13" s="136">
        <v>6000.0</v>
      </c>
      <c r="G13" s="137">
        <f t="shared" si="1"/>
        <v>6000</v>
      </c>
      <c r="H13" s="139" t="s">
        <v>88</v>
      </c>
      <c r="I13" s="91"/>
    </row>
    <row r="14">
      <c r="A14" s="134" t="s">
        <v>89</v>
      </c>
      <c r="B14" s="135" t="s">
        <v>75</v>
      </c>
      <c r="C14" s="135">
        <v>270.0</v>
      </c>
      <c r="D14" s="135">
        <v>4.0</v>
      </c>
      <c r="E14" s="135">
        <v>4.0</v>
      </c>
      <c r="F14" s="136">
        <v>500.0</v>
      </c>
      <c r="G14" s="137">
        <f t="shared" si="1"/>
        <v>8000</v>
      </c>
      <c r="H14" s="138" t="s">
        <v>90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>
      <c r="A15" s="134" t="s">
        <v>91</v>
      </c>
      <c r="B15" s="135" t="s">
        <v>75</v>
      </c>
      <c r="C15" s="135">
        <v>270.0</v>
      </c>
      <c r="D15" s="135">
        <v>1.0</v>
      </c>
      <c r="E15" s="135">
        <v>4.0</v>
      </c>
      <c r="F15" s="136">
        <v>1000.0</v>
      </c>
      <c r="G15" s="137">
        <f t="shared" si="1"/>
        <v>4000</v>
      </c>
      <c r="H15" s="138" t="s">
        <v>92</v>
      </c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</row>
    <row r="16">
      <c r="A16" s="140" t="s">
        <v>93</v>
      </c>
      <c r="B16" s="12"/>
      <c r="C16" s="12"/>
      <c r="D16" s="12"/>
      <c r="E16" s="12"/>
      <c r="F16" s="12"/>
      <c r="G16" s="13"/>
      <c r="H16" s="141">
        <f>SUM(G8:G15)</f>
        <v>101000</v>
      </c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</row>
    <row r="17">
      <c r="A17" s="142"/>
      <c r="B17" s="12"/>
      <c r="C17" s="12"/>
      <c r="D17" s="12"/>
      <c r="E17" s="12"/>
      <c r="F17" s="12"/>
      <c r="G17" s="12"/>
      <c r="H17" s="13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>
      <c r="A18" s="143" t="s">
        <v>94</v>
      </c>
      <c r="B18" s="12"/>
      <c r="C18" s="12"/>
      <c r="D18" s="12"/>
      <c r="E18" s="12"/>
      <c r="F18" s="12"/>
      <c r="G18" s="12"/>
      <c r="H18" s="13"/>
    </row>
    <row r="19">
      <c r="A19" s="128" t="s">
        <v>66</v>
      </c>
      <c r="B19" s="129" t="s">
        <v>67</v>
      </c>
      <c r="C19" s="130" t="s">
        <v>68</v>
      </c>
      <c r="D19" s="130" t="s">
        <v>69</v>
      </c>
      <c r="E19" s="130" t="s">
        <v>70</v>
      </c>
      <c r="F19" s="131" t="s">
        <v>71</v>
      </c>
      <c r="G19" s="132" t="s">
        <v>72</v>
      </c>
      <c r="H19" s="133" t="s">
        <v>73</v>
      </c>
    </row>
    <row r="20">
      <c r="A20" s="134" t="s">
        <v>74</v>
      </c>
      <c r="B20" s="135" t="s">
        <v>75</v>
      </c>
      <c r="C20" s="135">
        <v>270.0</v>
      </c>
      <c r="D20" s="135">
        <v>1.0</v>
      </c>
      <c r="E20" s="135">
        <v>7.0</v>
      </c>
      <c r="F20" s="136">
        <v>4000.0</v>
      </c>
      <c r="G20" s="137">
        <f t="shared" ref="G20:G25" si="2">SUM(D20*E20*F20)</f>
        <v>28000</v>
      </c>
      <c r="H20" s="139" t="s">
        <v>76</v>
      </c>
    </row>
    <row r="21">
      <c r="A21" s="134" t="s">
        <v>77</v>
      </c>
      <c r="B21" s="135" t="s">
        <v>75</v>
      </c>
      <c r="C21" s="135">
        <v>270.0</v>
      </c>
      <c r="D21" s="135">
        <v>1.0</v>
      </c>
      <c r="E21" s="135">
        <v>1.0</v>
      </c>
      <c r="F21" s="136">
        <v>15000.0</v>
      </c>
      <c r="G21" s="137">
        <f t="shared" si="2"/>
        <v>15000</v>
      </c>
      <c r="H21" s="139" t="s">
        <v>78</v>
      </c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</row>
    <row r="22">
      <c r="A22" s="134" t="s">
        <v>84</v>
      </c>
      <c r="B22" s="135" t="s">
        <v>85</v>
      </c>
      <c r="C22" s="135">
        <v>270.0</v>
      </c>
      <c r="D22" s="135">
        <v>2.0</v>
      </c>
      <c r="E22" s="135">
        <v>4.0</v>
      </c>
      <c r="F22" s="136">
        <v>500.0</v>
      </c>
      <c r="G22" s="137">
        <f t="shared" si="2"/>
        <v>4000</v>
      </c>
      <c r="H22" s="139" t="s">
        <v>86</v>
      </c>
    </row>
    <row r="23">
      <c r="A23" s="134" t="s">
        <v>87</v>
      </c>
      <c r="B23" s="135" t="s">
        <v>80</v>
      </c>
      <c r="C23" s="135">
        <v>270.0</v>
      </c>
      <c r="D23" s="135">
        <v>1.0</v>
      </c>
      <c r="E23" s="135">
        <v>1.0</v>
      </c>
      <c r="F23" s="136">
        <v>6000.0</v>
      </c>
      <c r="G23" s="137">
        <f t="shared" si="2"/>
        <v>6000</v>
      </c>
      <c r="H23" s="139" t="s">
        <v>88</v>
      </c>
    </row>
    <row r="24">
      <c r="A24" s="134" t="s">
        <v>89</v>
      </c>
      <c r="B24" s="135" t="s">
        <v>75</v>
      </c>
      <c r="C24" s="135">
        <v>270.0</v>
      </c>
      <c r="D24" s="135">
        <v>4.0</v>
      </c>
      <c r="E24" s="135">
        <v>4.0</v>
      </c>
      <c r="F24" s="136">
        <v>500.0</v>
      </c>
      <c r="G24" s="137">
        <f t="shared" si="2"/>
        <v>8000</v>
      </c>
      <c r="H24" s="139" t="s">
        <v>90</v>
      </c>
    </row>
    <row r="25">
      <c r="A25" s="134" t="s">
        <v>91</v>
      </c>
      <c r="B25" s="135" t="s">
        <v>75</v>
      </c>
      <c r="C25" s="135">
        <v>270.0</v>
      </c>
      <c r="D25" s="135">
        <v>1.0</v>
      </c>
      <c r="E25" s="135">
        <v>4.0</v>
      </c>
      <c r="F25" s="136">
        <v>1000.0</v>
      </c>
      <c r="G25" s="137">
        <f t="shared" si="2"/>
        <v>4000</v>
      </c>
      <c r="H25" s="139" t="s">
        <v>92</v>
      </c>
    </row>
    <row r="26">
      <c r="A26" s="140" t="s">
        <v>93</v>
      </c>
      <c r="B26" s="12"/>
      <c r="C26" s="12"/>
      <c r="D26" s="12"/>
      <c r="E26" s="12"/>
      <c r="F26" s="12"/>
      <c r="G26" s="13"/>
      <c r="H26" s="141">
        <f>SUM(G20:G25)</f>
        <v>65000</v>
      </c>
      <c r="I26" s="91" t="s">
        <v>95</v>
      </c>
    </row>
    <row r="27">
      <c r="A27" s="144"/>
      <c r="B27" s="68"/>
      <c r="C27" s="68"/>
      <c r="D27" s="68"/>
      <c r="E27" s="68"/>
      <c r="F27" s="145"/>
      <c r="G27" s="146"/>
      <c r="H27" s="147"/>
    </row>
    <row r="28">
      <c r="A28" s="125" t="s">
        <v>96</v>
      </c>
      <c r="B28" s="12"/>
      <c r="C28" s="12"/>
      <c r="D28" s="12"/>
      <c r="E28" s="12"/>
      <c r="F28" s="12"/>
      <c r="G28" s="12"/>
      <c r="H28" s="13"/>
    </row>
    <row r="29">
      <c r="A29" s="143" t="s">
        <v>64</v>
      </c>
      <c r="B29" s="12"/>
      <c r="C29" s="12"/>
      <c r="D29" s="12"/>
      <c r="E29" s="12"/>
      <c r="F29" s="12"/>
      <c r="G29" s="12"/>
      <c r="H29" s="13"/>
    </row>
    <row r="30">
      <c r="A30" s="148" t="s">
        <v>97</v>
      </c>
      <c r="B30" s="12"/>
      <c r="C30" s="12"/>
      <c r="D30" s="12"/>
      <c r="E30" s="12"/>
      <c r="F30" s="12"/>
      <c r="G30" s="12"/>
      <c r="H30" s="13"/>
    </row>
    <row r="31">
      <c r="A31" s="128" t="s">
        <v>66</v>
      </c>
      <c r="B31" s="129" t="s">
        <v>67</v>
      </c>
      <c r="C31" s="130" t="s">
        <v>68</v>
      </c>
      <c r="D31" s="130" t="s">
        <v>69</v>
      </c>
      <c r="E31" s="130" t="s">
        <v>70</v>
      </c>
      <c r="F31" s="131" t="s">
        <v>71</v>
      </c>
      <c r="G31" s="132" t="s">
        <v>72</v>
      </c>
      <c r="H31" s="133" t="s">
        <v>73</v>
      </c>
    </row>
    <row r="32">
      <c r="A32" s="149" t="s">
        <v>98</v>
      </c>
      <c r="B32" s="150" t="s">
        <v>99</v>
      </c>
      <c r="C32" s="150">
        <v>365.0</v>
      </c>
      <c r="D32" s="135">
        <v>1.0</v>
      </c>
      <c r="E32" s="135">
        <v>12.0</v>
      </c>
      <c r="F32" s="136">
        <v>5000.0</v>
      </c>
      <c r="G32" s="137">
        <f t="shared" ref="G32:G34" si="3">SUM(D32*E32*F32)</f>
        <v>60000</v>
      </c>
      <c r="H32" s="138" t="s">
        <v>100</v>
      </c>
    </row>
    <row r="33">
      <c r="A33" s="149" t="s">
        <v>101</v>
      </c>
      <c r="B33" s="150" t="s">
        <v>80</v>
      </c>
      <c r="C33" s="150">
        <v>365.0</v>
      </c>
      <c r="D33" s="135">
        <v>1.0</v>
      </c>
      <c r="E33" s="135">
        <v>1.0</v>
      </c>
      <c r="F33" s="136">
        <v>4000.0</v>
      </c>
      <c r="G33" s="137">
        <f t="shared" si="3"/>
        <v>4000</v>
      </c>
      <c r="H33" s="138" t="s">
        <v>102</v>
      </c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</row>
    <row r="34">
      <c r="A34" s="149" t="s">
        <v>103</v>
      </c>
      <c r="B34" s="150" t="s">
        <v>99</v>
      </c>
      <c r="C34" s="150">
        <v>365.0</v>
      </c>
      <c r="D34" s="135">
        <v>1.0</v>
      </c>
      <c r="E34" s="135">
        <v>12.0</v>
      </c>
      <c r="F34" s="136">
        <v>4000.0</v>
      </c>
      <c r="G34" s="137">
        <f t="shared" si="3"/>
        <v>48000</v>
      </c>
      <c r="H34" s="138" t="s">
        <v>104</v>
      </c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</row>
    <row r="35">
      <c r="A35" s="140" t="s">
        <v>93</v>
      </c>
      <c r="B35" s="12"/>
      <c r="C35" s="12"/>
      <c r="D35" s="12"/>
      <c r="E35" s="12"/>
      <c r="F35" s="12"/>
      <c r="G35" s="13"/>
      <c r="H35" s="141">
        <f>SUM(G32:G34)</f>
        <v>112000</v>
      </c>
    </row>
    <row r="36">
      <c r="A36" s="142"/>
      <c r="B36" s="12"/>
      <c r="C36" s="12"/>
      <c r="D36" s="12"/>
      <c r="E36" s="12"/>
      <c r="F36" s="12"/>
      <c r="G36" s="12"/>
      <c r="H36" s="13"/>
    </row>
    <row r="37">
      <c r="A37" s="143" t="s">
        <v>64</v>
      </c>
      <c r="B37" s="12"/>
      <c r="C37" s="12"/>
      <c r="D37" s="12"/>
      <c r="E37" s="12"/>
      <c r="F37" s="12"/>
      <c r="G37" s="12"/>
      <c r="H37" s="13"/>
    </row>
    <row r="38">
      <c r="A38" s="148" t="s">
        <v>65</v>
      </c>
      <c r="B38" s="12"/>
      <c r="C38" s="12"/>
      <c r="D38" s="12"/>
      <c r="E38" s="12"/>
      <c r="F38" s="12"/>
      <c r="G38" s="12"/>
      <c r="H38" s="13"/>
    </row>
    <row r="39">
      <c r="A39" s="128" t="s">
        <v>66</v>
      </c>
      <c r="B39" s="129" t="s">
        <v>67</v>
      </c>
      <c r="C39" s="130" t="s">
        <v>68</v>
      </c>
      <c r="D39" s="130" t="s">
        <v>69</v>
      </c>
      <c r="E39" s="130" t="s">
        <v>70</v>
      </c>
      <c r="F39" s="131" t="s">
        <v>71</v>
      </c>
      <c r="G39" s="132" t="s">
        <v>72</v>
      </c>
      <c r="H39" s="151" t="s">
        <v>73</v>
      </c>
    </row>
    <row r="40">
      <c r="A40" s="152" t="s">
        <v>105</v>
      </c>
      <c r="B40" s="153" t="s">
        <v>99</v>
      </c>
      <c r="C40" s="150">
        <v>270.0</v>
      </c>
      <c r="D40" s="150">
        <v>1.0</v>
      </c>
      <c r="E40" s="150">
        <v>2.0</v>
      </c>
      <c r="F40" s="154">
        <v>2000.0</v>
      </c>
      <c r="G40" s="137">
        <f t="shared" ref="G40:G50" si="4">SUM(D40*E40*F40)</f>
        <v>4000</v>
      </c>
      <c r="H40" s="155" t="s">
        <v>106</v>
      </c>
    </row>
    <row r="41">
      <c r="A41" s="149" t="s">
        <v>107</v>
      </c>
      <c r="B41" s="150" t="s">
        <v>75</v>
      </c>
      <c r="C41" s="150">
        <v>270.0</v>
      </c>
      <c r="D41" s="150">
        <v>1.0</v>
      </c>
      <c r="E41" s="150">
        <v>10.0</v>
      </c>
      <c r="F41" s="154">
        <v>500.0</v>
      </c>
      <c r="G41" s="137">
        <f t="shared" si="4"/>
        <v>5000</v>
      </c>
      <c r="H41" s="149" t="s">
        <v>108</v>
      </c>
    </row>
    <row r="42">
      <c r="A42" s="149" t="s">
        <v>109</v>
      </c>
      <c r="B42" s="150" t="s">
        <v>75</v>
      </c>
      <c r="C42" s="150">
        <v>270.0</v>
      </c>
      <c r="D42" s="150">
        <v>1.0</v>
      </c>
      <c r="E42" s="150">
        <v>1.0</v>
      </c>
      <c r="F42" s="154">
        <v>6000.0</v>
      </c>
      <c r="G42" s="137">
        <f t="shared" si="4"/>
        <v>6000</v>
      </c>
      <c r="H42" s="149" t="s">
        <v>110</v>
      </c>
    </row>
    <row r="43">
      <c r="A43" s="149" t="s">
        <v>111</v>
      </c>
      <c r="B43" s="150" t="s">
        <v>67</v>
      </c>
      <c r="C43" s="150">
        <v>270.0</v>
      </c>
      <c r="D43" s="150">
        <v>4.0</v>
      </c>
      <c r="E43" s="150">
        <v>1.0</v>
      </c>
      <c r="F43" s="154">
        <v>720.0</v>
      </c>
      <c r="G43" s="137">
        <f t="shared" si="4"/>
        <v>2880</v>
      </c>
      <c r="H43" s="149" t="s">
        <v>112</v>
      </c>
      <c r="I43" s="91" t="s">
        <v>95</v>
      </c>
    </row>
    <row r="44">
      <c r="A44" s="152" t="s">
        <v>113</v>
      </c>
      <c r="B44" s="153" t="s">
        <v>114</v>
      </c>
      <c r="C44" s="150">
        <v>270.0</v>
      </c>
      <c r="D44" s="150">
        <v>4.0</v>
      </c>
      <c r="E44" s="150">
        <v>10.0</v>
      </c>
      <c r="F44" s="154">
        <v>1000.0</v>
      </c>
      <c r="G44" s="137">
        <f t="shared" si="4"/>
        <v>40000</v>
      </c>
      <c r="H44" s="152" t="s">
        <v>115</v>
      </c>
    </row>
    <row r="45">
      <c r="A45" s="149" t="s">
        <v>116</v>
      </c>
      <c r="B45" s="150" t="s">
        <v>67</v>
      </c>
      <c r="C45" s="150">
        <v>270.0</v>
      </c>
      <c r="D45" s="150">
        <v>12.0</v>
      </c>
      <c r="E45" s="150">
        <v>10.0</v>
      </c>
      <c r="F45" s="154">
        <v>150.0</v>
      </c>
      <c r="G45" s="137">
        <f t="shared" si="4"/>
        <v>18000</v>
      </c>
      <c r="H45" s="149" t="s">
        <v>117</v>
      </c>
    </row>
    <row r="46">
      <c r="A46" s="149" t="s">
        <v>84</v>
      </c>
      <c r="B46" s="150" t="s">
        <v>85</v>
      </c>
      <c r="C46" s="150">
        <v>270.0</v>
      </c>
      <c r="D46" s="150">
        <v>2.0</v>
      </c>
      <c r="E46" s="150">
        <v>10.0</v>
      </c>
      <c r="F46" s="154">
        <v>500.0</v>
      </c>
      <c r="G46" s="137">
        <f t="shared" si="4"/>
        <v>10000</v>
      </c>
      <c r="H46" s="155" t="s">
        <v>118</v>
      </c>
    </row>
    <row r="47">
      <c r="A47" s="149" t="s">
        <v>119</v>
      </c>
      <c r="B47" s="150" t="s">
        <v>67</v>
      </c>
      <c r="C47" s="150">
        <v>270.0</v>
      </c>
      <c r="D47" s="150">
        <v>12.0</v>
      </c>
      <c r="E47" s="150">
        <v>2.0</v>
      </c>
      <c r="F47" s="154">
        <v>500.0</v>
      </c>
      <c r="G47" s="137">
        <f t="shared" si="4"/>
        <v>12000</v>
      </c>
      <c r="H47" s="156" t="s">
        <v>120</v>
      </c>
    </row>
    <row r="48">
      <c r="A48" s="134" t="s">
        <v>121</v>
      </c>
      <c r="B48" s="135" t="s">
        <v>67</v>
      </c>
      <c r="C48" s="150">
        <v>270.0</v>
      </c>
      <c r="D48" s="150">
        <v>12.0</v>
      </c>
      <c r="E48" s="150">
        <v>10.0</v>
      </c>
      <c r="F48" s="136">
        <v>100.0</v>
      </c>
      <c r="G48" s="137">
        <f t="shared" si="4"/>
        <v>12000</v>
      </c>
      <c r="H48" s="155" t="s">
        <v>122</v>
      </c>
    </row>
    <row r="49">
      <c r="A49" s="134" t="s">
        <v>123</v>
      </c>
      <c r="B49" s="135" t="s">
        <v>124</v>
      </c>
      <c r="C49" s="150">
        <v>270.0</v>
      </c>
      <c r="D49" s="135">
        <v>1.0</v>
      </c>
      <c r="E49" s="135">
        <v>10.0</v>
      </c>
      <c r="F49" s="136">
        <v>500.0</v>
      </c>
      <c r="G49" s="137">
        <f t="shared" si="4"/>
        <v>5000</v>
      </c>
      <c r="H49" s="155" t="s">
        <v>125</v>
      </c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</row>
    <row r="50">
      <c r="A50" s="134" t="s">
        <v>126</v>
      </c>
      <c r="B50" s="135" t="s">
        <v>75</v>
      </c>
      <c r="C50" s="150">
        <v>270.0</v>
      </c>
      <c r="D50" s="135">
        <v>1.0</v>
      </c>
      <c r="E50" s="135">
        <v>10.0</v>
      </c>
      <c r="F50" s="136">
        <v>500.0</v>
      </c>
      <c r="G50" s="137">
        <f t="shared" si="4"/>
        <v>5000</v>
      </c>
      <c r="H50" s="156" t="s">
        <v>127</v>
      </c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</row>
    <row r="51">
      <c r="A51" s="140" t="s">
        <v>93</v>
      </c>
      <c r="B51" s="12"/>
      <c r="C51" s="12"/>
      <c r="D51" s="12"/>
      <c r="E51" s="12"/>
      <c r="F51" s="12"/>
      <c r="G51" s="13"/>
      <c r="H51" s="141">
        <f>SUM(G40:G50)</f>
        <v>119880</v>
      </c>
    </row>
    <row r="52">
      <c r="A52" s="142"/>
      <c r="B52" s="12"/>
      <c r="C52" s="12"/>
      <c r="D52" s="12"/>
      <c r="E52" s="12"/>
      <c r="F52" s="12"/>
      <c r="G52" s="12"/>
      <c r="H52" s="13"/>
    </row>
    <row r="53">
      <c r="A53" s="143" t="s">
        <v>94</v>
      </c>
      <c r="B53" s="12"/>
      <c r="C53" s="12"/>
      <c r="D53" s="12"/>
      <c r="E53" s="12"/>
      <c r="F53" s="12"/>
      <c r="G53" s="12"/>
      <c r="H53" s="13"/>
    </row>
    <row r="54">
      <c r="A54" s="128" t="s">
        <v>66</v>
      </c>
      <c r="B54" s="129" t="s">
        <v>67</v>
      </c>
      <c r="C54" s="130" t="s">
        <v>68</v>
      </c>
      <c r="D54" s="130" t="s">
        <v>69</v>
      </c>
      <c r="E54" s="130" t="s">
        <v>70</v>
      </c>
      <c r="F54" s="131" t="s">
        <v>71</v>
      </c>
      <c r="G54" s="132" t="s">
        <v>72</v>
      </c>
      <c r="H54" s="151" t="s">
        <v>73</v>
      </c>
    </row>
    <row r="55">
      <c r="A55" s="149" t="s">
        <v>105</v>
      </c>
      <c r="B55" s="150" t="s">
        <v>99</v>
      </c>
      <c r="C55" s="150">
        <v>270.0</v>
      </c>
      <c r="D55" s="150">
        <v>1.0</v>
      </c>
      <c r="E55" s="150">
        <v>2.0</v>
      </c>
      <c r="F55" s="154">
        <v>2000.0</v>
      </c>
      <c r="G55" s="137">
        <f t="shared" ref="G55:G65" si="5">SUM(D55*E55*F55)</f>
        <v>4000</v>
      </c>
      <c r="H55" s="155" t="s">
        <v>106</v>
      </c>
    </row>
    <row r="56">
      <c r="A56" s="152" t="s">
        <v>107</v>
      </c>
      <c r="B56" s="153" t="s">
        <v>75</v>
      </c>
      <c r="C56" s="150">
        <v>270.0</v>
      </c>
      <c r="D56" s="150">
        <v>1.0</v>
      </c>
      <c r="E56" s="150">
        <v>10.0</v>
      </c>
      <c r="F56" s="154">
        <v>500.0</v>
      </c>
      <c r="G56" s="137">
        <f t="shared" si="5"/>
        <v>5000</v>
      </c>
      <c r="H56" s="152" t="s">
        <v>108</v>
      </c>
    </row>
    <row r="57">
      <c r="A57" s="149" t="s">
        <v>111</v>
      </c>
      <c r="B57" s="150" t="s">
        <v>67</v>
      </c>
      <c r="C57" s="150">
        <v>270.0</v>
      </c>
      <c r="D57" s="150">
        <v>4.0</v>
      </c>
      <c r="E57" s="150">
        <v>1.0</v>
      </c>
      <c r="F57" s="154">
        <v>720.0</v>
      </c>
      <c r="G57" s="137">
        <f t="shared" si="5"/>
        <v>2880</v>
      </c>
      <c r="H57" s="149" t="s">
        <v>112</v>
      </c>
    </row>
    <row r="58">
      <c r="A58" s="152" t="s">
        <v>113</v>
      </c>
      <c r="B58" s="153" t="s">
        <v>114</v>
      </c>
      <c r="C58" s="150">
        <v>270.0</v>
      </c>
      <c r="D58" s="150">
        <v>4.0</v>
      </c>
      <c r="E58" s="150">
        <v>10.0</v>
      </c>
      <c r="F58" s="154">
        <v>1000.0</v>
      </c>
      <c r="G58" s="137">
        <f t="shared" si="5"/>
        <v>40000</v>
      </c>
      <c r="H58" s="152" t="s">
        <v>115</v>
      </c>
    </row>
    <row r="59">
      <c r="A59" s="149" t="s">
        <v>116</v>
      </c>
      <c r="B59" s="150" t="s">
        <v>67</v>
      </c>
      <c r="C59" s="150">
        <v>270.0</v>
      </c>
      <c r="D59" s="150">
        <v>12.0</v>
      </c>
      <c r="E59" s="150">
        <v>10.0</v>
      </c>
      <c r="F59" s="154">
        <v>150.0</v>
      </c>
      <c r="G59" s="137">
        <f t="shared" si="5"/>
        <v>18000</v>
      </c>
      <c r="H59" s="149" t="s">
        <v>117</v>
      </c>
      <c r="I59" s="91" t="s">
        <v>95</v>
      </c>
    </row>
    <row r="60">
      <c r="A60" s="149" t="s">
        <v>84</v>
      </c>
      <c r="B60" s="150" t="s">
        <v>85</v>
      </c>
      <c r="C60" s="150">
        <v>270.0</v>
      </c>
      <c r="D60" s="150">
        <v>2.0</v>
      </c>
      <c r="E60" s="150">
        <v>10.0</v>
      </c>
      <c r="F60" s="154">
        <v>500.0</v>
      </c>
      <c r="G60" s="137">
        <f t="shared" si="5"/>
        <v>10000</v>
      </c>
      <c r="H60" s="155" t="s">
        <v>118</v>
      </c>
    </row>
    <row r="61">
      <c r="A61" s="134" t="s">
        <v>128</v>
      </c>
      <c r="B61" s="135" t="s">
        <v>75</v>
      </c>
      <c r="C61" s="150">
        <v>270.0</v>
      </c>
      <c r="D61" s="150">
        <v>1.0</v>
      </c>
      <c r="E61" s="150">
        <v>2.0</v>
      </c>
      <c r="F61" s="157">
        <v>1500.0</v>
      </c>
      <c r="G61" s="137">
        <f t="shared" si="5"/>
        <v>3000</v>
      </c>
      <c r="H61" s="158" t="s">
        <v>110</v>
      </c>
    </row>
    <row r="62">
      <c r="A62" s="149" t="s">
        <v>119</v>
      </c>
      <c r="B62" s="150" t="s">
        <v>67</v>
      </c>
      <c r="C62" s="150">
        <v>270.0</v>
      </c>
      <c r="D62" s="150">
        <v>12.0</v>
      </c>
      <c r="E62" s="150">
        <v>2.0</v>
      </c>
      <c r="F62" s="154">
        <v>500.0</v>
      </c>
      <c r="G62" s="137">
        <f t="shared" si="5"/>
        <v>12000</v>
      </c>
      <c r="H62" s="156" t="s">
        <v>120</v>
      </c>
    </row>
    <row r="63">
      <c r="A63" s="134" t="s">
        <v>121</v>
      </c>
      <c r="B63" s="135" t="s">
        <v>67</v>
      </c>
      <c r="C63" s="150">
        <v>270.0</v>
      </c>
      <c r="D63" s="150">
        <v>12.0</v>
      </c>
      <c r="E63" s="150">
        <v>10.0</v>
      </c>
      <c r="F63" s="136">
        <v>100.0</v>
      </c>
      <c r="G63" s="137">
        <f t="shared" si="5"/>
        <v>12000</v>
      </c>
      <c r="H63" s="155" t="s">
        <v>129</v>
      </c>
    </row>
    <row r="64">
      <c r="A64" s="134" t="s">
        <v>123</v>
      </c>
      <c r="B64" s="135" t="s">
        <v>124</v>
      </c>
      <c r="C64" s="150">
        <v>270.0</v>
      </c>
      <c r="D64" s="135">
        <v>1.0</v>
      </c>
      <c r="E64" s="135">
        <v>10.0</v>
      </c>
      <c r="F64" s="136">
        <v>500.0</v>
      </c>
      <c r="G64" s="137">
        <f t="shared" si="5"/>
        <v>5000</v>
      </c>
      <c r="H64" s="155" t="s">
        <v>125</v>
      </c>
    </row>
    <row r="65">
      <c r="A65" s="134" t="s">
        <v>126</v>
      </c>
      <c r="B65" s="135" t="s">
        <v>75</v>
      </c>
      <c r="C65" s="150">
        <v>270.0</v>
      </c>
      <c r="D65" s="135">
        <v>1.0</v>
      </c>
      <c r="E65" s="135">
        <v>10.0</v>
      </c>
      <c r="F65" s="136">
        <v>500.0</v>
      </c>
      <c r="G65" s="137">
        <f t="shared" si="5"/>
        <v>5000</v>
      </c>
      <c r="H65" s="156" t="s">
        <v>127</v>
      </c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</row>
    <row r="66">
      <c r="A66" s="140" t="s">
        <v>93</v>
      </c>
      <c r="B66" s="12"/>
      <c r="C66" s="12"/>
      <c r="D66" s="12"/>
      <c r="E66" s="12"/>
      <c r="F66" s="12"/>
      <c r="G66" s="13"/>
      <c r="H66" s="141">
        <f>SUM(G55:G65)</f>
        <v>116880</v>
      </c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</row>
    <row r="67">
      <c r="A67" s="142"/>
      <c r="B67" s="12"/>
      <c r="C67" s="12"/>
      <c r="D67" s="12"/>
      <c r="E67" s="12"/>
      <c r="F67" s="12"/>
      <c r="G67" s="12"/>
      <c r="H67" s="13"/>
    </row>
    <row r="68">
      <c r="A68" s="143" t="s">
        <v>64</v>
      </c>
      <c r="B68" s="12"/>
      <c r="C68" s="12"/>
      <c r="D68" s="12"/>
      <c r="E68" s="12"/>
      <c r="F68" s="12"/>
      <c r="G68" s="12"/>
      <c r="H68" s="13"/>
    </row>
    <row r="69">
      <c r="A69" s="148" t="s">
        <v>130</v>
      </c>
      <c r="B69" s="12"/>
      <c r="C69" s="12"/>
      <c r="D69" s="12"/>
      <c r="E69" s="12"/>
      <c r="F69" s="12"/>
      <c r="G69" s="12"/>
      <c r="H69" s="13"/>
    </row>
    <row r="70">
      <c r="A70" s="128" t="s">
        <v>66</v>
      </c>
      <c r="B70" s="129" t="s">
        <v>67</v>
      </c>
      <c r="C70" s="130" t="s">
        <v>68</v>
      </c>
      <c r="D70" s="130" t="s">
        <v>69</v>
      </c>
      <c r="E70" s="130" t="s">
        <v>70</v>
      </c>
      <c r="F70" s="131" t="s">
        <v>71</v>
      </c>
      <c r="G70" s="132" t="s">
        <v>72</v>
      </c>
      <c r="H70" s="133" t="s">
        <v>73</v>
      </c>
    </row>
    <row r="71">
      <c r="A71" s="134" t="s">
        <v>131</v>
      </c>
      <c r="B71" s="135" t="s">
        <v>99</v>
      </c>
      <c r="C71" s="135">
        <v>365.0</v>
      </c>
      <c r="D71" s="135">
        <v>1.0</v>
      </c>
      <c r="E71" s="135">
        <v>12.0</v>
      </c>
      <c r="F71" s="136">
        <v>1000.0</v>
      </c>
      <c r="G71" s="137">
        <f t="shared" ref="G71:G72" si="6">SUM(D71*E71*F71)</f>
        <v>12000</v>
      </c>
      <c r="H71" s="138" t="s">
        <v>132</v>
      </c>
    </row>
    <row r="72">
      <c r="A72" s="159" t="s">
        <v>133</v>
      </c>
      <c r="B72" s="160" t="s">
        <v>99</v>
      </c>
      <c r="C72" s="135">
        <v>365.0</v>
      </c>
      <c r="D72" s="135">
        <v>1.0</v>
      </c>
      <c r="E72" s="135">
        <v>12.0</v>
      </c>
      <c r="F72" s="136">
        <v>1000.0</v>
      </c>
      <c r="G72" s="137">
        <f t="shared" si="6"/>
        <v>12000</v>
      </c>
      <c r="H72" s="161" t="s">
        <v>134</v>
      </c>
    </row>
    <row r="73">
      <c r="A73" s="140" t="s">
        <v>93</v>
      </c>
      <c r="B73" s="12"/>
      <c r="C73" s="12"/>
      <c r="D73" s="12"/>
      <c r="E73" s="12"/>
      <c r="F73" s="12"/>
      <c r="G73" s="13"/>
      <c r="H73" s="141">
        <f>SUM(G71:G72)</f>
        <v>24000</v>
      </c>
    </row>
    <row r="74">
      <c r="A74" s="142"/>
      <c r="B74" s="162"/>
      <c r="C74" s="162"/>
      <c r="D74" s="162"/>
      <c r="E74" s="162"/>
      <c r="F74" s="163"/>
      <c r="G74" s="164"/>
      <c r="H74" s="165"/>
    </row>
    <row r="75">
      <c r="A75" s="125" t="s">
        <v>135</v>
      </c>
      <c r="B75" s="12"/>
      <c r="C75" s="12"/>
      <c r="D75" s="12"/>
      <c r="E75" s="12"/>
      <c r="F75" s="12"/>
      <c r="G75" s="12"/>
      <c r="H75" s="13"/>
      <c r="I75" s="91" t="s">
        <v>95</v>
      </c>
    </row>
    <row r="76">
      <c r="A76" s="143" t="s">
        <v>64</v>
      </c>
      <c r="B76" s="12"/>
      <c r="C76" s="12"/>
      <c r="D76" s="12"/>
      <c r="E76" s="12"/>
      <c r="F76" s="12"/>
      <c r="G76" s="12"/>
      <c r="H76" s="13"/>
    </row>
    <row r="77">
      <c r="A77" s="148" t="s">
        <v>65</v>
      </c>
      <c r="B77" s="12"/>
      <c r="C77" s="12"/>
      <c r="D77" s="12"/>
      <c r="E77" s="12"/>
      <c r="F77" s="12"/>
      <c r="G77" s="12"/>
      <c r="H77" s="13"/>
    </row>
    <row r="78">
      <c r="A78" s="166" t="s">
        <v>66</v>
      </c>
      <c r="B78" s="167" t="s">
        <v>67</v>
      </c>
      <c r="C78" s="130" t="s">
        <v>68</v>
      </c>
      <c r="D78" s="130" t="s">
        <v>69</v>
      </c>
      <c r="E78" s="130" t="s">
        <v>70</v>
      </c>
      <c r="F78" s="131" t="s">
        <v>71</v>
      </c>
      <c r="G78" s="132" t="s">
        <v>72</v>
      </c>
      <c r="H78" s="168" t="s">
        <v>73</v>
      </c>
    </row>
    <row r="79">
      <c r="A79" s="149" t="s">
        <v>136</v>
      </c>
      <c r="B79" s="150" t="s">
        <v>99</v>
      </c>
      <c r="C79" s="150">
        <v>270.0</v>
      </c>
      <c r="D79" s="150">
        <v>1.0</v>
      </c>
      <c r="E79" s="135">
        <v>5.0</v>
      </c>
      <c r="F79" s="136">
        <v>4000.0</v>
      </c>
      <c r="G79" s="137">
        <f t="shared" ref="G79:G84" si="7">SUM(D79*E79*F79)</f>
        <v>20000</v>
      </c>
      <c r="H79" s="138" t="s">
        <v>137</v>
      </c>
    </row>
    <row r="80">
      <c r="A80" s="149" t="s">
        <v>138</v>
      </c>
      <c r="B80" s="150" t="s">
        <v>124</v>
      </c>
      <c r="C80" s="150">
        <v>270.0</v>
      </c>
      <c r="D80" s="150">
        <v>1.0</v>
      </c>
      <c r="E80" s="135">
        <v>1.0</v>
      </c>
      <c r="F80" s="136">
        <v>2000.0</v>
      </c>
      <c r="G80" s="137">
        <f t="shared" si="7"/>
        <v>2000</v>
      </c>
      <c r="H80" s="138" t="s">
        <v>139</v>
      </c>
    </row>
    <row r="81">
      <c r="A81" s="149" t="s">
        <v>140</v>
      </c>
      <c r="B81" s="150" t="s">
        <v>67</v>
      </c>
      <c r="C81" s="150">
        <v>270.0</v>
      </c>
      <c r="D81" s="150">
        <v>1000.0</v>
      </c>
      <c r="E81" s="135">
        <v>1.0</v>
      </c>
      <c r="F81" s="136">
        <v>11.5</v>
      </c>
      <c r="G81" s="137">
        <f t="shared" si="7"/>
        <v>11500</v>
      </c>
      <c r="H81" s="138" t="s">
        <v>141</v>
      </c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</row>
    <row r="82">
      <c r="A82" s="149" t="s">
        <v>84</v>
      </c>
      <c r="B82" s="150" t="s">
        <v>85</v>
      </c>
      <c r="C82" s="150">
        <v>270.0</v>
      </c>
      <c r="D82" s="150">
        <v>2.0</v>
      </c>
      <c r="E82" s="135">
        <v>20.0</v>
      </c>
      <c r="F82" s="136">
        <v>200.0</v>
      </c>
      <c r="G82" s="137">
        <f t="shared" si="7"/>
        <v>8000</v>
      </c>
      <c r="H82" s="138" t="s">
        <v>142</v>
      </c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</row>
    <row r="83">
      <c r="A83" s="149" t="s">
        <v>143</v>
      </c>
      <c r="B83" s="150" t="s">
        <v>85</v>
      </c>
      <c r="C83" s="150">
        <v>270.0</v>
      </c>
      <c r="D83" s="150">
        <v>4.0</v>
      </c>
      <c r="E83" s="135">
        <v>20.0</v>
      </c>
      <c r="F83" s="136">
        <v>400.0</v>
      </c>
      <c r="G83" s="137">
        <f t="shared" si="7"/>
        <v>32000</v>
      </c>
      <c r="H83" s="138" t="s">
        <v>144</v>
      </c>
    </row>
    <row r="84">
      <c r="A84" s="149" t="s">
        <v>145</v>
      </c>
      <c r="B84" s="150" t="s">
        <v>75</v>
      </c>
      <c r="C84" s="150">
        <v>270.0</v>
      </c>
      <c r="D84" s="150">
        <v>20.0</v>
      </c>
      <c r="E84" s="135">
        <v>1.0</v>
      </c>
      <c r="F84" s="136">
        <v>225.0</v>
      </c>
      <c r="G84" s="137">
        <f t="shared" si="7"/>
        <v>4500</v>
      </c>
      <c r="H84" s="138" t="s">
        <v>146</v>
      </c>
    </row>
    <row r="85">
      <c r="A85" s="140" t="s">
        <v>93</v>
      </c>
      <c r="B85" s="12"/>
      <c r="C85" s="12"/>
      <c r="D85" s="12"/>
      <c r="E85" s="12"/>
      <c r="F85" s="12"/>
      <c r="G85" s="13"/>
      <c r="H85" s="141">
        <f>SUM(G79:G84)</f>
        <v>78000</v>
      </c>
    </row>
    <row r="86">
      <c r="A86" s="142"/>
      <c r="B86" s="12"/>
      <c r="C86" s="12"/>
      <c r="D86" s="12"/>
      <c r="E86" s="12"/>
      <c r="F86" s="12"/>
      <c r="G86" s="12"/>
      <c r="H86" s="13"/>
    </row>
    <row r="87">
      <c r="A87" s="143" t="s">
        <v>94</v>
      </c>
      <c r="B87" s="12"/>
      <c r="C87" s="12"/>
      <c r="D87" s="12"/>
      <c r="E87" s="12"/>
      <c r="F87" s="12"/>
      <c r="G87" s="12"/>
      <c r="H87" s="13"/>
    </row>
    <row r="88">
      <c r="A88" s="166" t="s">
        <v>66</v>
      </c>
      <c r="B88" s="167" t="s">
        <v>67</v>
      </c>
      <c r="C88" s="130" t="s">
        <v>68</v>
      </c>
      <c r="D88" s="130" t="s">
        <v>69</v>
      </c>
      <c r="E88" s="130" t="s">
        <v>70</v>
      </c>
      <c r="F88" s="131" t="s">
        <v>71</v>
      </c>
      <c r="G88" s="132" t="s">
        <v>72</v>
      </c>
      <c r="H88" s="168" t="s">
        <v>73</v>
      </c>
    </row>
    <row r="89">
      <c r="A89" s="149" t="s">
        <v>138</v>
      </c>
      <c r="B89" s="150" t="s">
        <v>124</v>
      </c>
      <c r="C89" s="150">
        <v>270.0</v>
      </c>
      <c r="D89" s="150">
        <v>1.0</v>
      </c>
      <c r="E89" s="135">
        <v>1.0</v>
      </c>
      <c r="F89" s="136">
        <v>2000.0</v>
      </c>
      <c r="G89" s="137">
        <f t="shared" ref="G89:G92" si="8">SUM(D89*E89*F89)</f>
        <v>2000</v>
      </c>
      <c r="H89" s="138" t="s">
        <v>139</v>
      </c>
    </row>
    <row r="90">
      <c r="A90" s="149" t="s">
        <v>140</v>
      </c>
      <c r="B90" s="150" t="s">
        <v>67</v>
      </c>
      <c r="C90" s="150">
        <v>270.0</v>
      </c>
      <c r="D90" s="150">
        <v>1000.0</v>
      </c>
      <c r="E90" s="135">
        <v>1.0</v>
      </c>
      <c r="F90" s="136">
        <v>11.5</v>
      </c>
      <c r="G90" s="137">
        <f t="shared" si="8"/>
        <v>11500</v>
      </c>
      <c r="H90" s="139" t="s">
        <v>141</v>
      </c>
    </row>
    <row r="91">
      <c r="A91" s="149" t="s">
        <v>84</v>
      </c>
      <c r="B91" s="150" t="s">
        <v>85</v>
      </c>
      <c r="C91" s="150">
        <v>270.0</v>
      </c>
      <c r="D91" s="150">
        <v>2.0</v>
      </c>
      <c r="E91" s="135">
        <v>20.0</v>
      </c>
      <c r="F91" s="136">
        <v>200.0</v>
      </c>
      <c r="G91" s="137">
        <f t="shared" si="8"/>
        <v>8000</v>
      </c>
      <c r="H91" s="139" t="s">
        <v>142</v>
      </c>
      <c r="I91" s="91" t="s">
        <v>95</v>
      </c>
    </row>
    <row r="92">
      <c r="A92" s="149" t="s">
        <v>143</v>
      </c>
      <c r="B92" s="150" t="s">
        <v>85</v>
      </c>
      <c r="C92" s="150">
        <v>270.0</v>
      </c>
      <c r="D92" s="150">
        <v>4.0</v>
      </c>
      <c r="E92" s="135">
        <v>20.0</v>
      </c>
      <c r="F92" s="136">
        <v>400.0</v>
      </c>
      <c r="G92" s="137">
        <f t="shared" si="8"/>
        <v>32000</v>
      </c>
      <c r="H92" s="138" t="s">
        <v>144</v>
      </c>
    </row>
    <row r="93">
      <c r="A93" s="140" t="s">
        <v>93</v>
      </c>
      <c r="B93" s="12"/>
      <c r="C93" s="12"/>
      <c r="D93" s="12"/>
      <c r="E93" s="12"/>
      <c r="F93" s="12"/>
      <c r="G93" s="13"/>
      <c r="H93" s="141">
        <f>SUM(G89:G92)</f>
        <v>53500</v>
      </c>
    </row>
    <row r="94">
      <c r="A94" s="169" t="s">
        <v>147</v>
      </c>
      <c r="B94" s="12"/>
      <c r="C94" s="12"/>
      <c r="D94" s="12"/>
      <c r="E94" s="12"/>
      <c r="F94" s="12"/>
      <c r="G94" s="13"/>
      <c r="H94" s="141">
        <f>SUM(H93,H85,H73,H66,H51,H35,H26,H16)</f>
        <v>670260</v>
      </c>
    </row>
    <row r="95">
      <c r="A95" s="142"/>
      <c r="B95" s="12"/>
      <c r="C95" s="12"/>
      <c r="D95" s="12"/>
      <c r="E95" s="12"/>
      <c r="F95" s="12"/>
      <c r="G95" s="12"/>
      <c r="H95" s="13"/>
    </row>
    <row r="96">
      <c r="A96" s="125" t="s">
        <v>148</v>
      </c>
      <c r="B96" s="12"/>
      <c r="C96" s="12"/>
      <c r="D96" s="12"/>
      <c r="E96" s="12"/>
      <c r="F96" s="12"/>
      <c r="G96" s="12"/>
      <c r="H96" s="13"/>
    </row>
    <row r="97">
      <c r="A97" s="148" t="s">
        <v>149</v>
      </c>
      <c r="B97" s="12"/>
      <c r="C97" s="12"/>
      <c r="D97" s="12"/>
      <c r="E97" s="12"/>
      <c r="F97" s="12"/>
      <c r="G97" s="12"/>
      <c r="H97" s="13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</row>
    <row r="98">
      <c r="A98" s="143" t="s">
        <v>94</v>
      </c>
      <c r="B98" s="12"/>
      <c r="C98" s="12"/>
      <c r="D98" s="12"/>
      <c r="E98" s="12"/>
      <c r="F98" s="12"/>
      <c r="G98" s="12"/>
      <c r="H98" s="13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</row>
    <row r="99">
      <c r="A99" s="128" t="s">
        <v>66</v>
      </c>
      <c r="B99" s="129" t="s">
        <v>67</v>
      </c>
      <c r="C99" s="130" t="s">
        <v>68</v>
      </c>
      <c r="D99" s="130" t="s">
        <v>69</v>
      </c>
      <c r="E99" s="130" t="s">
        <v>70</v>
      </c>
      <c r="F99" s="131" t="s">
        <v>71</v>
      </c>
      <c r="G99" s="132" t="s">
        <v>72</v>
      </c>
      <c r="H99" s="133" t="s">
        <v>73</v>
      </c>
    </row>
    <row r="100">
      <c r="A100" s="134" t="s">
        <v>150</v>
      </c>
      <c r="B100" s="135" t="s">
        <v>80</v>
      </c>
      <c r="C100" s="135">
        <v>1.0</v>
      </c>
      <c r="D100" s="135">
        <v>1.0</v>
      </c>
      <c r="E100" s="135">
        <v>1.0</v>
      </c>
      <c r="F100" s="136">
        <f>SUM(H94*20%)</f>
        <v>134052</v>
      </c>
      <c r="G100" s="137">
        <f t="shared" ref="G100:G101" si="9">SUM(F100)</f>
        <v>134052</v>
      </c>
      <c r="H100" s="138" t="s">
        <v>151</v>
      </c>
    </row>
    <row r="101">
      <c r="A101" s="159" t="s">
        <v>57</v>
      </c>
      <c r="B101" s="160" t="s">
        <v>80</v>
      </c>
      <c r="C101" s="135">
        <v>1.0</v>
      </c>
      <c r="D101" s="135">
        <v>1.0</v>
      </c>
      <c r="E101" s="135">
        <v>1.0</v>
      </c>
      <c r="F101" s="136">
        <f>SUM(H94*15%)</f>
        <v>100539</v>
      </c>
      <c r="G101" s="137">
        <f t="shared" si="9"/>
        <v>100539</v>
      </c>
      <c r="H101" s="161" t="s">
        <v>151</v>
      </c>
    </row>
    <row r="102">
      <c r="A102" s="140" t="s">
        <v>93</v>
      </c>
      <c r="B102" s="12"/>
      <c r="C102" s="12"/>
      <c r="D102" s="12"/>
      <c r="E102" s="12"/>
      <c r="F102" s="12"/>
      <c r="G102" s="13"/>
      <c r="H102" s="141">
        <f>SUM(G101,G100)</f>
        <v>234591</v>
      </c>
    </row>
    <row r="103">
      <c r="A103" s="170" t="s">
        <v>152</v>
      </c>
      <c r="B103" s="12"/>
      <c r="C103" s="12"/>
      <c r="D103" s="12"/>
      <c r="E103" s="12"/>
      <c r="F103" s="12"/>
      <c r="G103" s="13"/>
      <c r="H103" s="141">
        <f>SUM(H102,H94)</f>
        <v>904851</v>
      </c>
    </row>
    <row r="104">
      <c r="A104" s="171"/>
      <c r="B104" s="12"/>
      <c r="C104" s="12"/>
      <c r="D104" s="12"/>
      <c r="E104" s="12"/>
      <c r="F104" s="12"/>
      <c r="G104" s="12"/>
      <c r="H104" s="13"/>
    </row>
    <row r="105">
      <c r="A105" s="125" t="s">
        <v>153</v>
      </c>
      <c r="B105" s="12"/>
      <c r="C105" s="12"/>
      <c r="D105" s="12"/>
      <c r="E105" s="12"/>
      <c r="F105" s="12"/>
      <c r="G105" s="12"/>
      <c r="H105" s="13"/>
    </row>
    <row r="106">
      <c r="A106" s="143" t="s">
        <v>94</v>
      </c>
      <c r="B106" s="12"/>
      <c r="C106" s="12"/>
      <c r="D106" s="12"/>
      <c r="E106" s="12"/>
      <c r="F106" s="12"/>
      <c r="G106" s="12"/>
      <c r="H106" s="13"/>
    </row>
    <row r="107">
      <c r="A107" s="128" t="s">
        <v>66</v>
      </c>
      <c r="B107" s="129" t="s">
        <v>67</v>
      </c>
      <c r="C107" s="130" t="s">
        <v>68</v>
      </c>
      <c r="D107" s="130" t="s">
        <v>69</v>
      </c>
      <c r="E107" s="130" t="s">
        <v>70</v>
      </c>
      <c r="F107" s="131" t="s">
        <v>71</v>
      </c>
      <c r="G107" s="132" t="s">
        <v>72</v>
      </c>
      <c r="H107" s="130" t="s">
        <v>73</v>
      </c>
      <c r="I107" s="91" t="s">
        <v>95</v>
      </c>
    </row>
    <row r="108">
      <c r="A108" s="134" t="s">
        <v>59</v>
      </c>
      <c r="B108" s="160" t="s">
        <v>80</v>
      </c>
      <c r="C108" s="135">
        <v>1.0</v>
      </c>
      <c r="D108" s="135">
        <v>1.0</v>
      </c>
      <c r="E108" s="135">
        <v>1.0</v>
      </c>
      <c r="F108" s="136">
        <f>SUM(H103*10%)</f>
        <v>90485.1</v>
      </c>
      <c r="G108" s="137">
        <f>SUM(F108)</f>
        <v>90485.1</v>
      </c>
      <c r="H108" s="138" t="s">
        <v>151</v>
      </c>
    </row>
    <row r="109">
      <c r="A109" s="140" t="s">
        <v>93</v>
      </c>
      <c r="B109" s="12"/>
      <c r="C109" s="12"/>
      <c r="D109" s="12"/>
      <c r="E109" s="12"/>
      <c r="F109" s="12"/>
      <c r="G109" s="13"/>
      <c r="H109" s="141">
        <f>SUM(G108)</f>
        <v>90485.1</v>
      </c>
    </row>
    <row r="110">
      <c r="A110" s="172" t="s">
        <v>154</v>
      </c>
      <c r="B110" s="12"/>
      <c r="C110" s="12"/>
      <c r="D110" s="12"/>
      <c r="E110" s="12"/>
      <c r="F110" s="12"/>
      <c r="G110" s="12"/>
      <c r="H110" s="13"/>
    </row>
    <row r="111">
      <c r="A111" s="173">
        <f>SUM(H109,H103)</f>
        <v>995336.1</v>
      </c>
      <c r="H111" s="27"/>
    </row>
    <row r="112">
      <c r="A112" s="22"/>
      <c r="H112" s="27"/>
    </row>
    <row r="113">
      <c r="A113" s="11"/>
      <c r="B113" s="12"/>
      <c r="C113" s="12"/>
      <c r="D113" s="12"/>
      <c r="E113" s="12"/>
      <c r="F113" s="12"/>
      <c r="G113" s="12"/>
      <c r="H113" s="13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</row>
    <row r="114">
      <c r="A114" s="110"/>
      <c r="B114" s="110"/>
      <c r="C114" s="110"/>
      <c r="D114" s="110"/>
      <c r="E114" s="110"/>
      <c r="F114" s="174"/>
      <c r="G114" s="175"/>
      <c r="H114" s="176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</row>
    <row r="115">
      <c r="A115" s="177" t="s">
        <v>66</v>
      </c>
      <c r="B115" s="178" t="s">
        <v>67</v>
      </c>
      <c r="C115" s="179" t="s">
        <v>68</v>
      </c>
      <c r="D115" s="179" t="s">
        <v>69</v>
      </c>
      <c r="E115" s="179" t="s">
        <v>70</v>
      </c>
      <c r="F115" s="180" t="s">
        <v>71</v>
      </c>
      <c r="G115" s="180" t="s">
        <v>72</v>
      </c>
      <c r="H115" s="181" t="s">
        <v>73</v>
      </c>
    </row>
    <row r="116">
      <c r="A116" s="182" t="s">
        <v>107</v>
      </c>
      <c r="B116" s="183" t="s">
        <v>155</v>
      </c>
      <c r="C116" s="183">
        <v>270.0</v>
      </c>
      <c r="D116" s="183">
        <v>1.0</v>
      </c>
      <c r="E116" s="183">
        <v>3.0</v>
      </c>
      <c r="F116" s="184">
        <v>500.0</v>
      </c>
      <c r="G116" s="185">
        <f t="shared" ref="G116:G126" si="10">SUM(D116*E116*F116)</f>
        <v>1500</v>
      </c>
      <c r="H116" s="186" t="s">
        <v>108</v>
      </c>
    </row>
    <row r="117">
      <c r="A117" s="182" t="s">
        <v>109</v>
      </c>
      <c r="B117" s="183" t="s">
        <v>155</v>
      </c>
      <c r="C117" s="183">
        <v>270.0</v>
      </c>
      <c r="D117" s="183">
        <v>1.0</v>
      </c>
      <c r="E117" s="183">
        <v>1.0</v>
      </c>
      <c r="F117" s="184">
        <v>4000.0</v>
      </c>
      <c r="G117" s="185">
        <f t="shared" si="10"/>
        <v>4000</v>
      </c>
      <c r="H117" s="187" t="s">
        <v>110</v>
      </c>
    </row>
    <row r="118">
      <c r="A118" s="182" t="s">
        <v>111</v>
      </c>
      <c r="B118" s="183" t="s">
        <v>156</v>
      </c>
      <c r="C118" s="183">
        <v>270.0</v>
      </c>
      <c r="D118" s="183">
        <v>4.0</v>
      </c>
      <c r="E118" s="183">
        <v>1.0</v>
      </c>
      <c r="F118" s="184">
        <v>500.0</v>
      </c>
      <c r="G118" s="185">
        <f t="shared" si="10"/>
        <v>2000</v>
      </c>
      <c r="H118" s="187" t="s">
        <v>157</v>
      </c>
    </row>
    <row r="119">
      <c r="A119" s="182" t="s">
        <v>113</v>
      </c>
      <c r="B119" s="183" t="s">
        <v>158</v>
      </c>
      <c r="C119" s="183">
        <v>270.0</v>
      </c>
      <c r="D119" s="183">
        <v>4.0</v>
      </c>
      <c r="E119" s="183">
        <v>3.0</v>
      </c>
      <c r="F119" s="184">
        <v>1200.0</v>
      </c>
      <c r="G119" s="185">
        <f t="shared" si="10"/>
        <v>14400</v>
      </c>
      <c r="H119" s="187" t="s">
        <v>115</v>
      </c>
    </row>
    <row r="120">
      <c r="A120" s="188" t="s">
        <v>159</v>
      </c>
      <c r="B120" s="189" t="s">
        <v>156</v>
      </c>
      <c r="C120" s="183">
        <v>270.0</v>
      </c>
      <c r="D120" s="183">
        <v>12.0</v>
      </c>
      <c r="E120" s="183">
        <v>3.0</v>
      </c>
      <c r="F120" s="184">
        <v>200.0</v>
      </c>
      <c r="G120" s="185">
        <f t="shared" si="10"/>
        <v>7200</v>
      </c>
      <c r="H120" s="190" t="s">
        <v>117</v>
      </c>
    </row>
    <row r="121">
      <c r="A121" s="182" t="s">
        <v>160</v>
      </c>
      <c r="B121" s="183" t="s">
        <v>161</v>
      </c>
      <c r="C121" s="183">
        <v>270.0</v>
      </c>
      <c r="D121" s="183">
        <v>1.0</v>
      </c>
      <c r="E121" s="183">
        <v>3.0</v>
      </c>
      <c r="F121" s="184">
        <v>2000.0</v>
      </c>
      <c r="G121" s="185">
        <f t="shared" si="10"/>
        <v>6000</v>
      </c>
      <c r="H121" s="187" t="s">
        <v>162</v>
      </c>
    </row>
    <row r="122">
      <c r="A122" s="182" t="s">
        <v>163</v>
      </c>
      <c r="B122" s="183" t="s">
        <v>164</v>
      </c>
      <c r="C122" s="183">
        <v>270.0</v>
      </c>
      <c r="D122" s="183">
        <v>1.0</v>
      </c>
      <c r="E122" s="183">
        <v>3.0</v>
      </c>
      <c r="F122" s="184">
        <v>400.0</v>
      </c>
      <c r="G122" s="185">
        <f t="shared" si="10"/>
        <v>1200</v>
      </c>
      <c r="H122" s="187" t="s">
        <v>165</v>
      </c>
    </row>
    <row r="123">
      <c r="A123" s="182" t="s">
        <v>84</v>
      </c>
      <c r="B123" s="183" t="s">
        <v>164</v>
      </c>
      <c r="C123" s="183">
        <v>270.0</v>
      </c>
      <c r="D123" s="183">
        <v>2.0</v>
      </c>
      <c r="E123" s="183">
        <v>3.0</v>
      </c>
      <c r="F123" s="184">
        <v>500.0</v>
      </c>
      <c r="G123" s="185">
        <f t="shared" si="10"/>
        <v>3000</v>
      </c>
      <c r="H123" s="187" t="s">
        <v>166</v>
      </c>
      <c r="I123" s="91" t="s">
        <v>95</v>
      </c>
    </row>
    <row r="124">
      <c r="A124" s="182" t="s">
        <v>121</v>
      </c>
      <c r="B124" s="183" t="s">
        <v>156</v>
      </c>
      <c r="C124" s="183">
        <v>270.0</v>
      </c>
      <c r="D124" s="183">
        <v>12.0</v>
      </c>
      <c r="E124" s="183">
        <v>3.0</v>
      </c>
      <c r="F124" s="184">
        <v>120.0</v>
      </c>
      <c r="G124" s="185">
        <f t="shared" si="10"/>
        <v>4320</v>
      </c>
      <c r="H124" s="186" t="s">
        <v>122</v>
      </c>
    </row>
    <row r="125">
      <c r="A125" s="182" t="s">
        <v>123</v>
      </c>
      <c r="B125" s="183" t="s">
        <v>161</v>
      </c>
      <c r="C125" s="183">
        <v>270.0</v>
      </c>
      <c r="D125" s="183">
        <v>1.0</v>
      </c>
      <c r="E125" s="183">
        <v>3.0</v>
      </c>
      <c r="F125" s="184">
        <v>1000.0</v>
      </c>
      <c r="G125" s="185">
        <f t="shared" si="10"/>
        <v>3000</v>
      </c>
      <c r="H125" s="187" t="s">
        <v>125</v>
      </c>
    </row>
    <row r="126">
      <c r="A126" s="182" t="s">
        <v>167</v>
      </c>
      <c r="B126" s="183" t="s">
        <v>75</v>
      </c>
      <c r="C126" s="183">
        <v>270.0</v>
      </c>
      <c r="D126" s="183">
        <v>1.0</v>
      </c>
      <c r="E126" s="183">
        <v>3.0</v>
      </c>
      <c r="F126" s="184">
        <v>500.0</v>
      </c>
      <c r="G126" s="185">
        <f t="shared" si="10"/>
        <v>1500</v>
      </c>
      <c r="H126" s="186" t="s">
        <v>127</v>
      </c>
    </row>
    <row r="127">
      <c r="A127" s="191" t="s">
        <v>93</v>
      </c>
      <c r="B127" s="12"/>
      <c r="C127" s="12"/>
      <c r="D127" s="12"/>
      <c r="E127" s="12"/>
      <c r="F127" s="12"/>
      <c r="G127" s="13"/>
      <c r="H127" s="192">
        <f>SUM(G116:G126)</f>
        <v>48120</v>
      </c>
    </row>
    <row r="128">
      <c r="A128" s="193"/>
      <c r="B128" s="194"/>
      <c r="C128" s="194"/>
      <c r="D128" s="194"/>
      <c r="E128" s="194"/>
      <c r="F128" s="195"/>
      <c r="G128" s="195"/>
      <c r="H128" s="196"/>
    </row>
    <row r="129">
      <c r="A129" s="197" t="s">
        <v>168</v>
      </c>
      <c r="B129" s="198"/>
      <c r="C129" s="198"/>
      <c r="D129" s="198"/>
      <c r="E129" s="198"/>
      <c r="F129" s="198"/>
      <c r="G129" s="199"/>
      <c r="H129" s="200"/>
    </row>
    <row r="130">
      <c r="A130" s="201" t="s">
        <v>65</v>
      </c>
      <c r="B130" s="202"/>
      <c r="C130" s="202"/>
      <c r="D130" s="202"/>
      <c r="E130" s="202"/>
      <c r="F130" s="203"/>
      <c r="G130" s="203"/>
      <c r="H130" s="202"/>
    </row>
    <row r="131">
      <c r="A131" s="177" t="s">
        <v>66</v>
      </c>
      <c r="B131" s="178" t="s">
        <v>67</v>
      </c>
      <c r="C131" s="179" t="s">
        <v>68</v>
      </c>
      <c r="D131" s="179" t="s">
        <v>69</v>
      </c>
      <c r="E131" s="179" t="s">
        <v>70</v>
      </c>
      <c r="F131" s="180" t="s">
        <v>71</v>
      </c>
      <c r="G131" s="180" t="s">
        <v>72</v>
      </c>
      <c r="H131" s="181" t="s">
        <v>73</v>
      </c>
    </row>
    <row r="132">
      <c r="A132" s="182" t="s">
        <v>107</v>
      </c>
      <c r="B132" s="183" t="s">
        <v>155</v>
      </c>
      <c r="C132" s="183">
        <v>270.0</v>
      </c>
      <c r="D132" s="183">
        <v>1.0</v>
      </c>
      <c r="E132" s="183">
        <v>3.0</v>
      </c>
      <c r="F132" s="184">
        <v>500.0</v>
      </c>
      <c r="G132" s="185">
        <f t="shared" ref="G132:G143" si="11">SUM(D132*E132*F132)</f>
        <v>1500</v>
      </c>
      <c r="H132" s="186" t="s">
        <v>108</v>
      </c>
    </row>
    <row r="133">
      <c r="A133" s="182" t="s">
        <v>109</v>
      </c>
      <c r="B133" s="183" t="s">
        <v>155</v>
      </c>
      <c r="C133" s="183">
        <v>270.0</v>
      </c>
      <c r="D133" s="183">
        <v>1.0</v>
      </c>
      <c r="E133" s="183">
        <v>1.0</v>
      </c>
      <c r="F133" s="184">
        <v>4000.0</v>
      </c>
      <c r="G133" s="185">
        <f t="shared" si="11"/>
        <v>4000</v>
      </c>
      <c r="H133" s="187" t="s">
        <v>110</v>
      </c>
    </row>
    <row r="134">
      <c r="A134" s="182" t="s">
        <v>111</v>
      </c>
      <c r="B134" s="183" t="s">
        <v>156</v>
      </c>
      <c r="C134" s="183">
        <v>270.0</v>
      </c>
      <c r="D134" s="183">
        <v>4.0</v>
      </c>
      <c r="E134" s="183">
        <v>1.0</v>
      </c>
      <c r="F134" s="184">
        <v>500.0</v>
      </c>
      <c r="G134" s="185">
        <f t="shared" si="11"/>
        <v>2000</v>
      </c>
      <c r="H134" s="187" t="s">
        <v>157</v>
      </c>
    </row>
    <row r="135">
      <c r="A135" s="182" t="s">
        <v>113</v>
      </c>
      <c r="B135" s="183" t="s">
        <v>158</v>
      </c>
      <c r="C135" s="183">
        <v>270.0</v>
      </c>
      <c r="D135" s="183">
        <v>4.0</v>
      </c>
      <c r="E135" s="183">
        <v>3.0</v>
      </c>
      <c r="F135" s="184">
        <v>1200.0</v>
      </c>
      <c r="G135" s="185">
        <f t="shared" si="11"/>
        <v>14400</v>
      </c>
      <c r="H135" s="187" t="s">
        <v>115</v>
      </c>
    </row>
    <row r="136">
      <c r="A136" s="188" t="s">
        <v>159</v>
      </c>
      <c r="B136" s="189" t="s">
        <v>155</v>
      </c>
      <c r="C136" s="183">
        <v>270.0</v>
      </c>
      <c r="D136" s="183">
        <v>12.0</v>
      </c>
      <c r="E136" s="183">
        <v>3.0</v>
      </c>
      <c r="F136" s="184">
        <v>200.0</v>
      </c>
      <c r="G136" s="185">
        <f t="shared" si="11"/>
        <v>7200</v>
      </c>
      <c r="H136" s="190" t="s">
        <v>117</v>
      </c>
    </row>
    <row r="137">
      <c r="A137" s="182" t="s">
        <v>169</v>
      </c>
      <c r="B137" s="183" t="s">
        <v>161</v>
      </c>
      <c r="C137" s="183">
        <v>270.0</v>
      </c>
      <c r="D137" s="183">
        <v>1.0</v>
      </c>
      <c r="E137" s="183">
        <v>3.0</v>
      </c>
      <c r="F137" s="184">
        <v>2000.0</v>
      </c>
      <c r="G137" s="185">
        <f t="shared" si="11"/>
        <v>6000</v>
      </c>
      <c r="H137" s="187" t="s">
        <v>162</v>
      </c>
    </row>
    <row r="138">
      <c r="A138" s="182" t="s">
        <v>163</v>
      </c>
      <c r="B138" s="183" t="s">
        <v>164</v>
      </c>
      <c r="C138" s="183">
        <v>270.0</v>
      </c>
      <c r="D138" s="183">
        <v>1.0</v>
      </c>
      <c r="E138" s="183">
        <v>3.0</v>
      </c>
      <c r="F138" s="184">
        <v>400.0</v>
      </c>
      <c r="G138" s="185">
        <f t="shared" si="11"/>
        <v>1200</v>
      </c>
      <c r="H138" s="187" t="s">
        <v>165</v>
      </c>
    </row>
    <row r="139">
      <c r="A139" s="182" t="s">
        <v>170</v>
      </c>
      <c r="B139" s="183" t="s">
        <v>164</v>
      </c>
      <c r="C139" s="183">
        <v>270.0</v>
      </c>
      <c r="D139" s="183">
        <v>2.0</v>
      </c>
      <c r="E139" s="183">
        <v>3.0</v>
      </c>
      <c r="F139" s="184">
        <v>500.0</v>
      </c>
      <c r="G139" s="185">
        <f t="shared" si="11"/>
        <v>3000</v>
      </c>
      <c r="H139" s="187" t="s">
        <v>166</v>
      </c>
      <c r="I139" s="91" t="s">
        <v>95</v>
      </c>
    </row>
    <row r="140">
      <c r="A140" s="182" t="s">
        <v>171</v>
      </c>
      <c r="B140" s="183" t="s">
        <v>155</v>
      </c>
      <c r="C140" s="183">
        <v>270.0</v>
      </c>
      <c r="D140" s="183">
        <v>12.0</v>
      </c>
      <c r="E140" s="183">
        <v>2.0</v>
      </c>
      <c r="F140" s="204">
        <v>1000.0</v>
      </c>
      <c r="G140" s="185">
        <f t="shared" si="11"/>
        <v>24000</v>
      </c>
      <c r="H140" s="186" t="s">
        <v>172</v>
      </c>
    </row>
    <row r="141">
      <c r="A141" s="182" t="s">
        <v>121</v>
      </c>
      <c r="B141" s="183" t="s">
        <v>156</v>
      </c>
      <c r="C141" s="183">
        <v>270.0</v>
      </c>
      <c r="D141" s="183">
        <v>12.0</v>
      </c>
      <c r="E141" s="183">
        <v>3.0</v>
      </c>
      <c r="F141" s="184">
        <v>120.0</v>
      </c>
      <c r="G141" s="185">
        <f t="shared" si="11"/>
        <v>4320</v>
      </c>
      <c r="H141" s="186" t="s">
        <v>122</v>
      </c>
    </row>
    <row r="142">
      <c r="A142" s="182" t="s">
        <v>123</v>
      </c>
      <c r="B142" s="183" t="s">
        <v>161</v>
      </c>
      <c r="C142" s="183">
        <v>270.0</v>
      </c>
      <c r="D142" s="183">
        <v>1.0</v>
      </c>
      <c r="E142" s="183">
        <v>3.0</v>
      </c>
      <c r="F142" s="184">
        <v>1000.0</v>
      </c>
      <c r="G142" s="185">
        <f t="shared" si="11"/>
        <v>3000</v>
      </c>
      <c r="H142" s="187" t="s">
        <v>125</v>
      </c>
    </row>
    <row r="143">
      <c r="A143" s="182" t="s">
        <v>167</v>
      </c>
      <c r="B143" s="183" t="s">
        <v>75</v>
      </c>
      <c r="C143" s="183">
        <v>270.0</v>
      </c>
      <c r="D143" s="183">
        <v>1.0</v>
      </c>
      <c r="E143" s="183">
        <v>3.0</v>
      </c>
      <c r="F143" s="184">
        <v>500.0</v>
      </c>
      <c r="G143" s="185">
        <f t="shared" si="11"/>
        <v>1500</v>
      </c>
      <c r="H143" s="186" t="s">
        <v>127</v>
      </c>
    </row>
    <row r="144">
      <c r="A144" s="191" t="s">
        <v>93</v>
      </c>
      <c r="B144" s="12"/>
      <c r="C144" s="12"/>
      <c r="D144" s="12"/>
      <c r="E144" s="12"/>
      <c r="F144" s="12"/>
      <c r="G144" s="13"/>
      <c r="H144" s="192">
        <f>SUM(G132:G143)</f>
        <v>72120</v>
      </c>
    </row>
    <row r="145">
      <c r="A145" s="205"/>
      <c r="B145" s="206"/>
      <c r="C145" s="207"/>
      <c r="D145" s="207"/>
      <c r="E145" s="207"/>
      <c r="F145" s="208"/>
      <c r="G145" s="208"/>
      <c r="H145" s="209"/>
    </row>
    <row r="146">
      <c r="A146" s="197" t="s">
        <v>173</v>
      </c>
      <c r="B146" s="198"/>
      <c r="C146" s="198"/>
      <c r="D146" s="198"/>
      <c r="E146" s="198"/>
      <c r="F146" s="198"/>
      <c r="G146" s="199"/>
      <c r="H146" s="200"/>
    </row>
    <row r="147">
      <c r="A147" s="201" t="s">
        <v>65</v>
      </c>
      <c r="B147" s="202"/>
      <c r="C147" s="202"/>
      <c r="D147" s="202"/>
      <c r="E147" s="202"/>
      <c r="F147" s="203"/>
      <c r="G147" s="203"/>
      <c r="H147" s="202"/>
    </row>
    <row r="148">
      <c r="A148" s="177" t="s">
        <v>66</v>
      </c>
      <c r="B148" s="178" t="s">
        <v>67</v>
      </c>
      <c r="C148" s="179" t="s">
        <v>68</v>
      </c>
      <c r="D148" s="179" t="s">
        <v>69</v>
      </c>
      <c r="E148" s="179" t="s">
        <v>70</v>
      </c>
      <c r="F148" s="180" t="s">
        <v>71</v>
      </c>
      <c r="G148" s="180" t="s">
        <v>72</v>
      </c>
      <c r="H148" s="181" t="s">
        <v>73</v>
      </c>
    </row>
    <row r="149">
      <c r="A149" s="182" t="s">
        <v>107</v>
      </c>
      <c r="B149" s="183" t="s">
        <v>155</v>
      </c>
      <c r="C149" s="183">
        <v>270.0</v>
      </c>
      <c r="D149" s="183">
        <v>1.0</v>
      </c>
      <c r="E149" s="183">
        <v>3.0</v>
      </c>
      <c r="F149" s="184">
        <v>500.0</v>
      </c>
      <c r="G149" s="185">
        <f t="shared" ref="G149:G160" si="12">SUM(D149*E149*F149)</f>
        <v>1500</v>
      </c>
      <c r="H149" s="186" t="s">
        <v>108</v>
      </c>
    </row>
    <row r="150">
      <c r="A150" s="182" t="s">
        <v>109</v>
      </c>
      <c r="B150" s="183" t="s">
        <v>155</v>
      </c>
      <c r="C150" s="183">
        <v>270.0</v>
      </c>
      <c r="D150" s="183">
        <v>1.0</v>
      </c>
      <c r="E150" s="183">
        <v>1.0</v>
      </c>
      <c r="F150" s="184">
        <v>4000.0</v>
      </c>
      <c r="G150" s="185">
        <f t="shared" si="12"/>
        <v>4000</v>
      </c>
      <c r="H150" s="187" t="s">
        <v>110</v>
      </c>
    </row>
    <row r="151">
      <c r="A151" s="182" t="s">
        <v>111</v>
      </c>
      <c r="B151" s="183" t="s">
        <v>156</v>
      </c>
      <c r="C151" s="183">
        <v>270.0</v>
      </c>
      <c r="D151" s="183">
        <v>4.0</v>
      </c>
      <c r="E151" s="183">
        <v>1.0</v>
      </c>
      <c r="F151" s="184">
        <v>500.0</v>
      </c>
      <c r="G151" s="185">
        <f t="shared" si="12"/>
        <v>2000</v>
      </c>
      <c r="H151" s="187" t="s">
        <v>157</v>
      </c>
    </row>
    <row r="152">
      <c r="A152" s="182" t="s">
        <v>113</v>
      </c>
      <c r="B152" s="183" t="s">
        <v>158</v>
      </c>
      <c r="C152" s="183">
        <v>270.0</v>
      </c>
      <c r="D152" s="183">
        <v>4.0</v>
      </c>
      <c r="E152" s="183">
        <v>3.0</v>
      </c>
      <c r="F152" s="184">
        <v>1200.0</v>
      </c>
      <c r="G152" s="185">
        <f t="shared" si="12"/>
        <v>14400</v>
      </c>
      <c r="H152" s="187" t="s">
        <v>115</v>
      </c>
    </row>
    <row r="153">
      <c r="A153" s="188" t="s">
        <v>159</v>
      </c>
      <c r="B153" s="189" t="s">
        <v>156</v>
      </c>
      <c r="C153" s="183">
        <v>270.0</v>
      </c>
      <c r="D153" s="183">
        <v>12.0</v>
      </c>
      <c r="E153" s="183">
        <v>3.0</v>
      </c>
      <c r="F153" s="184">
        <v>200.0</v>
      </c>
      <c r="G153" s="185">
        <f t="shared" si="12"/>
        <v>7200</v>
      </c>
      <c r="H153" s="190" t="s">
        <v>117</v>
      </c>
    </row>
    <row r="154">
      <c r="A154" s="182" t="s">
        <v>169</v>
      </c>
      <c r="B154" s="183" t="s">
        <v>161</v>
      </c>
      <c r="C154" s="183">
        <v>270.0</v>
      </c>
      <c r="D154" s="183">
        <v>1.0</v>
      </c>
      <c r="E154" s="183">
        <v>3.0</v>
      </c>
      <c r="F154" s="184">
        <v>2000.0</v>
      </c>
      <c r="G154" s="185">
        <f t="shared" si="12"/>
        <v>6000</v>
      </c>
      <c r="H154" s="187" t="s">
        <v>162</v>
      </c>
    </row>
    <row r="155">
      <c r="A155" s="182" t="s">
        <v>163</v>
      </c>
      <c r="B155" s="183" t="s">
        <v>164</v>
      </c>
      <c r="C155" s="183">
        <v>270.0</v>
      </c>
      <c r="D155" s="183">
        <v>1.0</v>
      </c>
      <c r="E155" s="183">
        <v>3.0</v>
      </c>
      <c r="F155" s="184">
        <v>400.0</v>
      </c>
      <c r="G155" s="185">
        <f t="shared" si="12"/>
        <v>1200</v>
      </c>
      <c r="H155" s="187" t="s">
        <v>165</v>
      </c>
    </row>
    <row r="156">
      <c r="A156" s="182" t="s">
        <v>170</v>
      </c>
      <c r="B156" s="183" t="s">
        <v>164</v>
      </c>
      <c r="C156" s="183">
        <v>270.0</v>
      </c>
      <c r="D156" s="183">
        <v>2.0</v>
      </c>
      <c r="E156" s="183">
        <v>3.0</v>
      </c>
      <c r="F156" s="184">
        <v>500.0</v>
      </c>
      <c r="G156" s="185">
        <f t="shared" si="12"/>
        <v>3000</v>
      </c>
      <c r="H156" s="187" t="s">
        <v>166</v>
      </c>
      <c r="I156" s="91" t="s">
        <v>95</v>
      </c>
    </row>
    <row r="157">
      <c r="A157" s="182" t="s">
        <v>171</v>
      </c>
      <c r="B157" s="183" t="s">
        <v>155</v>
      </c>
      <c r="C157" s="183">
        <v>270.0</v>
      </c>
      <c r="D157" s="183">
        <v>12.0</v>
      </c>
      <c r="E157" s="183">
        <v>2.0</v>
      </c>
      <c r="F157" s="204">
        <v>1000.0</v>
      </c>
      <c r="G157" s="185">
        <f t="shared" si="12"/>
        <v>24000</v>
      </c>
      <c r="H157" s="186" t="s">
        <v>172</v>
      </c>
    </row>
    <row r="158">
      <c r="A158" s="182" t="s">
        <v>121</v>
      </c>
      <c r="B158" s="183" t="s">
        <v>156</v>
      </c>
      <c r="C158" s="183">
        <v>270.0</v>
      </c>
      <c r="D158" s="183">
        <v>12.0</v>
      </c>
      <c r="E158" s="183">
        <v>3.0</v>
      </c>
      <c r="F158" s="184">
        <v>120.0</v>
      </c>
      <c r="G158" s="185">
        <f t="shared" si="12"/>
        <v>4320</v>
      </c>
      <c r="H158" s="186" t="s">
        <v>122</v>
      </c>
    </row>
    <row r="159">
      <c r="A159" s="182" t="s">
        <v>123</v>
      </c>
      <c r="B159" s="183" t="s">
        <v>161</v>
      </c>
      <c r="C159" s="183">
        <v>270.0</v>
      </c>
      <c r="D159" s="183">
        <v>1.0</v>
      </c>
      <c r="E159" s="183">
        <v>3.0</v>
      </c>
      <c r="F159" s="184">
        <v>1000.0</v>
      </c>
      <c r="G159" s="185">
        <f t="shared" si="12"/>
        <v>3000</v>
      </c>
      <c r="H159" s="187" t="s">
        <v>125</v>
      </c>
    </row>
    <row r="160">
      <c r="A160" s="182" t="s">
        <v>167</v>
      </c>
      <c r="B160" s="183" t="s">
        <v>75</v>
      </c>
      <c r="C160" s="183">
        <v>270.0</v>
      </c>
      <c r="D160" s="183">
        <v>1.0</v>
      </c>
      <c r="E160" s="183">
        <v>3.0</v>
      </c>
      <c r="F160" s="184">
        <v>500.0</v>
      </c>
      <c r="G160" s="185">
        <f t="shared" si="12"/>
        <v>1500</v>
      </c>
      <c r="H160" s="186" t="s">
        <v>127</v>
      </c>
    </row>
    <row r="161">
      <c r="A161" s="191" t="s">
        <v>93</v>
      </c>
      <c r="B161" s="12"/>
      <c r="C161" s="12"/>
      <c r="D161" s="12"/>
      <c r="E161" s="12"/>
      <c r="F161" s="12"/>
      <c r="G161" s="13"/>
      <c r="H161" s="192">
        <f>SUM(G149:G160)</f>
        <v>72120</v>
      </c>
    </row>
    <row r="162">
      <c r="A162" s="210"/>
      <c r="B162" s="207"/>
      <c r="C162" s="207"/>
      <c r="D162" s="207"/>
      <c r="E162" s="207"/>
      <c r="F162" s="208"/>
      <c r="G162" s="208"/>
      <c r="H162" s="209"/>
    </row>
    <row r="163">
      <c r="A163" s="197" t="s">
        <v>174</v>
      </c>
      <c r="B163" s="198"/>
      <c r="C163" s="198"/>
      <c r="D163" s="198"/>
      <c r="E163" s="198"/>
      <c r="F163" s="198"/>
      <c r="G163" s="199"/>
      <c r="H163" s="200"/>
    </row>
    <row r="164">
      <c r="A164" s="201" t="s">
        <v>65</v>
      </c>
      <c r="B164" s="202"/>
      <c r="C164" s="202"/>
      <c r="D164" s="202"/>
      <c r="E164" s="202"/>
      <c r="F164" s="203"/>
      <c r="G164" s="203"/>
      <c r="H164" s="202"/>
    </row>
    <row r="165">
      <c r="A165" s="177" t="s">
        <v>66</v>
      </c>
      <c r="B165" s="178" t="s">
        <v>67</v>
      </c>
      <c r="C165" s="179" t="s">
        <v>68</v>
      </c>
      <c r="D165" s="179" t="s">
        <v>69</v>
      </c>
      <c r="E165" s="179" t="s">
        <v>70</v>
      </c>
      <c r="F165" s="180" t="s">
        <v>71</v>
      </c>
      <c r="G165" s="180" t="s">
        <v>72</v>
      </c>
      <c r="H165" s="181" t="s">
        <v>73</v>
      </c>
    </row>
    <row r="166">
      <c r="A166" s="182" t="s">
        <v>107</v>
      </c>
      <c r="B166" s="183" t="s">
        <v>155</v>
      </c>
      <c r="C166" s="183">
        <v>270.0</v>
      </c>
      <c r="D166" s="183">
        <v>1.0</v>
      </c>
      <c r="E166" s="183">
        <v>3.0</v>
      </c>
      <c r="F166" s="184">
        <v>500.0</v>
      </c>
      <c r="G166" s="185">
        <f t="shared" ref="G166:G177" si="13">SUM(D166*E166*F166)</f>
        <v>1500</v>
      </c>
      <c r="H166" s="186" t="s">
        <v>108</v>
      </c>
    </row>
    <row r="167">
      <c r="A167" s="182" t="s">
        <v>109</v>
      </c>
      <c r="B167" s="183" t="s">
        <v>155</v>
      </c>
      <c r="C167" s="183">
        <v>270.0</v>
      </c>
      <c r="D167" s="183">
        <v>1.0</v>
      </c>
      <c r="E167" s="183">
        <v>1.0</v>
      </c>
      <c r="F167" s="184">
        <v>4000.0</v>
      </c>
      <c r="G167" s="185">
        <f t="shared" si="13"/>
        <v>4000</v>
      </c>
      <c r="H167" s="187" t="s">
        <v>110</v>
      </c>
    </row>
    <row r="168">
      <c r="A168" s="182" t="s">
        <v>111</v>
      </c>
      <c r="B168" s="183" t="s">
        <v>156</v>
      </c>
      <c r="C168" s="183">
        <v>270.0</v>
      </c>
      <c r="D168" s="183">
        <v>4.0</v>
      </c>
      <c r="E168" s="183">
        <v>1.0</v>
      </c>
      <c r="F168" s="184">
        <v>500.0</v>
      </c>
      <c r="G168" s="185">
        <f t="shared" si="13"/>
        <v>2000</v>
      </c>
      <c r="H168" s="187" t="s">
        <v>157</v>
      </c>
    </row>
    <row r="169">
      <c r="A169" s="182" t="s">
        <v>113</v>
      </c>
      <c r="B169" s="183" t="s">
        <v>158</v>
      </c>
      <c r="C169" s="183">
        <v>270.0</v>
      </c>
      <c r="D169" s="183">
        <v>4.0</v>
      </c>
      <c r="E169" s="183">
        <v>3.0</v>
      </c>
      <c r="F169" s="184">
        <v>1200.0</v>
      </c>
      <c r="G169" s="185">
        <f t="shared" si="13"/>
        <v>14400</v>
      </c>
      <c r="H169" s="187" t="s">
        <v>115</v>
      </c>
    </row>
    <row r="170">
      <c r="A170" s="188" t="s">
        <v>159</v>
      </c>
      <c r="B170" s="189" t="s">
        <v>156</v>
      </c>
      <c r="C170" s="183">
        <v>270.0</v>
      </c>
      <c r="D170" s="183">
        <v>12.0</v>
      </c>
      <c r="E170" s="183">
        <v>3.0</v>
      </c>
      <c r="F170" s="184">
        <v>200.0</v>
      </c>
      <c r="G170" s="185">
        <f t="shared" si="13"/>
        <v>7200</v>
      </c>
      <c r="H170" s="190" t="s">
        <v>117</v>
      </c>
    </row>
    <row r="171">
      <c r="A171" s="182" t="s">
        <v>169</v>
      </c>
      <c r="B171" s="183" t="s">
        <v>161</v>
      </c>
      <c r="C171" s="183">
        <v>270.0</v>
      </c>
      <c r="D171" s="183">
        <v>1.0</v>
      </c>
      <c r="E171" s="183">
        <v>3.0</v>
      </c>
      <c r="F171" s="184">
        <v>2000.0</v>
      </c>
      <c r="G171" s="185">
        <f t="shared" si="13"/>
        <v>6000</v>
      </c>
      <c r="H171" s="187" t="s">
        <v>162</v>
      </c>
    </row>
    <row r="172">
      <c r="A172" s="182" t="s">
        <v>163</v>
      </c>
      <c r="B172" s="183" t="s">
        <v>164</v>
      </c>
      <c r="C172" s="183">
        <v>270.0</v>
      </c>
      <c r="D172" s="183">
        <v>1.0</v>
      </c>
      <c r="E172" s="183">
        <v>3.0</v>
      </c>
      <c r="F172" s="184">
        <v>400.0</v>
      </c>
      <c r="G172" s="185">
        <f t="shared" si="13"/>
        <v>1200</v>
      </c>
      <c r="H172" s="187" t="s">
        <v>165</v>
      </c>
    </row>
    <row r="173">
      <c r="A173" s="182" t="s">
        <v>170</v>
      </c>
      <c r="B173" s="183" t="s">
        <v>164</v>
      </c>
      <c r="C173" s="183">
        <v>270.0</v>
      </c>
      <c r="D173" s="183">
        <v>2.0</v>
      </c>
      <c r="E173" s="183">
        <v>3.0</v>
      </c>
      <c r="F173" s="184">
        <v>500.0</v>
      </c>
      <c r="G173" s="185">
        <f t="shared" si="13"/>
        <v>3000</v>
      </c>
      <c r="H173" s="187" t="s">
        <v>166</v>
      </c>
      <c r="I173" s="91" t="s">
        <v>95</v>
      </c>
    </row>
    <row r="174">
      <c r="A174" s="182" t="s">
        <v>171</v>
      </c>
      <c r="B174" s="183" t="s">
        <v>155</v>
      </c>
      <c r="C174" s="183">
        <v>270.0</v>
      </c>
      <c r="D174" s="183">
        <v>12.0</v>
      </c>
      <c r="E174" s="183">
        <v>2.0</v>
      </c>
      <c r="F174" s="204">
        <v>1000.0</v>
      </c>
      <c r="G174" s="185">
        <f t="shared" si="13"/>
        <v>24000</v>
      </c>
      <c r="H174" s="186" t="s">
        <v>172</v>
      </c>
    </row>
    <row r="175">
      <c r="A175" s="182" t="s">
        <v>121</v>
      </c>
      <c r="B175" s="183" t="s">
        <v>156</v>
      </c>
      <c r="C175" s="183">
        <v>270.0</v>
      </c>
      <c r="D175" s="183">
        <v>12.0</v>
      </c>
      <c r="E175" s="183">
        <v>3.0</v>
      </c>
      <c r="F175" s="184">
        <v>120.0</v>
      </c>
      <c r="G175" s="185">
        <f t="shared" si="13"/>
        <v>4320</v>
      </c>
      <c r="H175" s="186" t="s">
        <v>122</v>
      </c>
    </row>
    <row r="176">
      <c r="A176" s="182" t="s">
        <v>123</v>
      </c>
      <c r="B176" s="183" t="s">
        <v>161</v>
      </c>
      <c r="C176" s="183">
        <v>270.0</v>
      </c>
      <c r="D176" s="183">
        <v>1.0</v>
      </c>
      <c r="E176" s="183">
        <v>3.0</v>
      </c>
      <c r="F176" s="184">
        <v>1000.0</v>
      </c>
      <c r="G176" s="185">
        <f t="shared" si="13"/>
        <v>3000</v>
      </c>
      <c r="H176" s="187" t="s">
        <v>125</v>
      </c>
    </row>
    <row r="177">
      <c r="A177" s="182" t="s">
        <v>167</v>
      </c>
      <c r="B177" s="183" t="s">
        <v>75</v>
      </c>
      <c r="C177" s="183">
        <v>270.0</v>
      </c>
      <c r="D177" s="183">
        <v>1.0</v>
      </c>
      <c r="E177" s="183">
        <v>3.0</v>
      </c>
      <c r="F177" s="184">
        <v>500.0</v>
      </c>
      <c r="G177" s="185">
        <f t="shared" si="13"/>
        <v>1500</v>
      </c>
      <c r="H177" s="186" t="s">
        <v>127</v>
      </c>
    </row>
    <row r="178">
      <c r="A178" s="191" t="s">
        <v>93</v>
      </c>
      <c r="B178" s="12"/>
      <c r="C178" s="12"/>
      <c r="D178" s="12"/>
      <c r="E178" s="12"/>
      <c r="F178" s="12"/>
      <c r="G178" s="13"/>
      <c r="H178" s="192">
        <f>SUM(G166:G177)</f>
        <v>72120</v>
      </c>
    </row>
    <row r="179">
      <c r="A179" s="205"/>
      <c r="B179" s="206"/>
      <c r="C179" s="207"/>
      <c r="D179" s="207"/>
      <c r="E179" s="207"/>
      <c r="F179" s="208"/>
      <c r="G179" s="208"/>
      <c r="H179" s="209"/>
    </row>
    <row r="180">
      <c r="A180" s="201" t="s">
        <v>130</v>
      </c>
      <c r="B180" s="202"/>
      <c r="C180" s="202"/>
      <c r="D180" s="202"/>
      <c r="E180" s="202"/>
      <c r="F180" s="203"/>
      <c r="G180" s="203"/>
      <c r="H180" s="202"/>
    </row>
    <row r="181">
      <c r="A181" s="197" t="s">
        <v>175</v>
      </c>
      <c r="B181" s="198"/>
      <c r="C181" s="198"/>
      <c r="D181" s="198"/>
      <c r="E181" s="198"/>
      <c r="F181" s="199"/>
      <c r="G181" s="199"/>
      <c r="H181" s="198"/>
    </row>
    <row r="182">
      <c r="A182" s="177" t="s">
        <v>66</v>
      </c>
      <c r="B182" s="178" t="s">
        <v>67</v>
      </c>
      <c r="C182" s="179" t="s">
        <v>68</v>
      </c>
      <c r="D182" s="179" t="s">
        <v>69</v>
      </c>
      <c r="E182" s="179" t="s">
        <v>70</v>
      </c>
      <c r="F182" s="180" t="s">
        <v>71</v>
      </c>
      <c r="G182" s="180" t="s">
        <v>72</v>
      </c>
      <c r="H182" s="179" t="s">
        <v>73</v>
      </c>
    </row>
    <row r="183">
      <c r="A183" s="182" t="s">
        <v>131</v>
      </c>
      <c r="B183" s="183" t="s">
        <v>99</v>
      </c>
      <c r="C183" s="183">
        <v>365.0</v>
      </c>
      <c r="D183" s="183">
        <v>1.0</v>
      </c>
      <c r="E183" s="183">
        <v>12.0</v>
      </c>
      <c r="F183" s="204">
        <v>1000.0</v>
      </c>
      <c r="G183" s="185">
        <f t="shared" ref="G183:G184" si="14">SUM(D183*E183*F183)</f>
        <v>12000</v>
      </c>
      <c r="H183" s="186" t="s">
        <v>132</v>
      </c>
    </row>
    <row r="184">
      <c r="A184" s="182" t="s">
        <v>133</v>
      </c>
      <c r="B184" s="183" t="s">
        <v>99</v>
      </c>
      <c r="C184" s="183">
        <v>365.0</v>
      </c>
      <c r="D184" s="183">
        <v>1.0</v>
      </c>
      <c r="E184" s="183">
        <v>12.0</v>
      </c>
      <c r="F184" s="204">
        <v>900.0</v>
      </c>
      <c r="G184" s="185">
        <f t="shared" si="14"/>
        <v>10800</v>
      </c>
      <c r="H184" s="186" t="s">
        <v>134</v>
      </c>
    </row>
    <row r="185">
      <c r="A185" s="191" t="s">
        <v>93</v>
      </c>
      <c r="B185" s="12"/>
      <c r="C185" s="12"/>
      <c r="D185" s="12"/>
      <c r="E185" s="12"/>
      <c r="F185" s="12"/>
      <c r="G185" s="13"/>
      <c r="H185" s="192">
        <f>SUM(G183:G184)</f>
        <v>22800</v>
      </c>
    </row>
    <row r="186">
      <c r="A186" s="210"/>
      <c r="B186" s="207"/>
      <c r="C186" s="207"/>
      <c r="D186" s="207"/>
      <c r="E186" s="207"/>
      <c r="F186" s="208"/>
      <c r="G186" s="208"/>
      <c r="H186" s="209"/>
    </row>
    <row r="187">
      <c r="A187" s="211" t="s">
        <v>176</v>
      </c>
      <c r="B187" s="12"/>
      <c r="C187" s="12"/>
      <c r="D187" s="12"/>
      <c r="E187" s="12"/>
      <c r="F187" s="12"/>
      <c r="G187" s="12"/>
      <c r="H187" s="13"/>
    </row>
    <row r="188">
      <c r="A188" s="197" t="s">
        <v>175</v>
      </c>
      <c r="B188" s="198"/>
      <c r="C188" s="198"/>
      <c r="D188" s="198"/>
      <c r="E188" s="198"/>
      <c r="F188" s="199"/>
      <c r="G188" s="199"/>
      <c r="H188" s="198"/>
    </row>
    <row r="189">
      <c r="A189" s="201" t="s">
        <v>65</v>
      </c>
      <c r="B189" s="202"/>
      <c r="C189" s="202"/>
      <c r="D189" s="202"/>
      <c r="E189" s="202"/>
      <c r="F189" s="203"/>
      <c r="G189" s="203"/>
      <c r="H189" s="202"/>
    </row>
    <row r="190">
      <c r="A190" s="212" t="s">
        <v>66</v>
      </c>
      <c r="B190" s="213" t="s">
        <v>67</v>
      </c>
      <c r="C190" s="179" t="s">
        <v>68</v>
      </c>
      <c r="D190" s="179" t="s">
        <v>69</v>
      </c>
      <c r="E190" s="179" t="s">
        <v>70</v>
      </c>
      <c r="F190" s="180" t="s">
        <v>71</v>
      </c>
      <c r="G190" s="180" t="s">
        <v>72</v>
      </c>
      <c r="H190" s="214" t="s">
        <v>73</v>
      </c>
    </row>
    <row r="191">
      <c r="A191" s="182" t="s">
        <v>177</v>
      </c>
      <c r="B191" s="183" t="s">
        <v>178</v>
      </c>
      <c r="C191" s="183">
        <v>270.0</v>
      </c>
      <c r="D191" s="183">
        <v>1.0</v>
      </c>
      <c r="E191" s="183">
        <v>30.0</v>
      </c>
      <c r="F191" s="184">
        <v>3000.0</v>
      </c>
      <c r="G191" s="185">
        <f t="shared" ref="G191:G200" si="15">SUM(D191*E191*F191)</f>
        <v>90000</v>
      </c>
      <c r="H191" s="187" t="s">
        <v>179</v>
      </c>
    </row>
    <row r="192">
      <c r="A192" s="182" t="s">
        <v>180</v>
      </c>
      <c r="B192" s="183" t="s">
        <v>161</v>
      </c>
      <c r="C192" s="183">
        <v>270.0</v>
      </c>
      <c r="D192" s="183">
        <v>1.0</v>
      </c>
      <c r="E192" s="183">
        <v>4.0</v>
      </c>
      <c r="F192" s="204">
        <v>5000.0</v>
      </c>
      <c r="G192" s="185">
        <f t="shared" si="15"/>
        <v>20000</v>
      </c>
      <c r="H192" s="186" t="s">
        <v>181</v>
      </c>
    </row>
    <row r="193">
      <c r="A193" s="182" t="s">
        <v>79</v>
      </c>
      <c r="B193" s="183" t="s">
        <v>182</v>
      </c>
      <c r="C193" s="183">
        <v>270.0</v>
      </c>
      <c r="D193" s="183">
        <v>30.0</v>
      </c>
      <c r="E193" s="183">
        <v>1.0</v>
      </c>
      <c r="F193" s="184">
        <v>500.0</v>
      </c>
      <c r="G193" s="185">
        <f t="shared" si="15"/>
        <v>15000</v>
      </c>
      <c r="H193" s="187" t="s">
        <v>183</v>
      </c>
    </row>
    <row r="194">
      <c r="A194" s="182" t="s">
        <v>184</v>
      </c>
      <c r="B194" s="183" t="s">
        <v>67</v>
      </c>
      <c r="C194" s="183">
        <v>270.0</v>
      </c>
      <c r="D194" s="183">
        <v>30.0</v>
      </c>
      <c r="E194" s="183">
        <v>1.0</v>
      </c>
      <c r="F194" s="184">
        <v>1000.0</v>
      </c>
      <c r="G194" s="185">
        <f t="shared" si="15"/>
        <v>30000</v>
      </c>
      <c r="H194" s="187" t="s">
        <v>185</v>
      </c>
    </row>
    <row r="195">
      <c r="A195" s="182" t="s">
        <v>186</v>
      </c>
      <c r="B195" s="183" t="s">
        <v>182</v>
      </c>
      <c r="C195" s="183">
        <v>270.0</v>
      </c>
      <c r="D195" s="183">
        <v>30.0</v>
      </c>
      <c r="E195" s="183">
        <v>1.0</v>
      </c>
      <c r="F195" s="184">
        <v>100.0</v>
      </c>
      <c r="G195" s="185">
        <f t="shared" si="15"/>
        <v>3000</v>
      </c>
      <c r="H195" s="187" t="s">
        <v>187</v>
      </c>
    </row>
    <row r="196">
      <c r="A196" s="182" t="s">
        <v>163</v>
      </c>
      <c r="B196" s="183" t="s">
        <v>164</v>
      </c>
      <c r="C196" s="183">
        <v>270.0</v>
      </c>
      <c r="D196" s="183">
        <v>1.0</v>
      </c>
      <c r="E196" s="183">
        <v>3.0</v>
      </c>
      <c r="F196" s="184">
        <v>400.0</v>
      </c>
      <c r="G196" s="185">
        <f t="shared" si="15"/>
        <v>1200</v>
      </c>
      <c r="H196" s="186" t="s">
        <v>188</v>
      </c>
    </row>
    <row r="197">
      <c r="A197" s="182" t="s">
        <v>189</v>
      </c>
      <c r="B197" s="183" t="s">
        <v>155</v>
      </c>
      <c r="C197" s="183">
        <v>270.0</v>
      </c>
      <c r="D197" s="183">
        <v>1.0</v>
      </c>
      <c r="E197" s="183">
        <v>10.0</v>
      </c>
      <c r="F197" s="184">
        <v>3500.0</v>
      </c>
      <c r="G197" s="185">
        <f t="shared" si="15"/>
        <v>35000</v>
      </c>
      <c r="H197" s="186" t="s">
        <v>190</v>
      </c>
    </row>
    <row r="198">
      <c r="A198" s="182" t="s">
        <v>170</v>
      </c>
      <c r="B198" s="183" t="s">
        <v>164</v>
      </c>
      <c r="C198" s="183">
        <v>270.0</v>
      </c>
      <c r="D198" s="183">
        <v>2.0</v>
      </c>
      <c r="E198" s="183">
        <v>3.0</v>
      </c>
      <c r="F198" s="184">
        <v>500.0</v>
      </c>
      <c r="G198" s="185">
        <f t="shared" si="15"/>
        <v>3000</v>
      </c>
      <c r="H198" s="186" t="s">
        <v>191</v>
      </c>
    </row>
    <row r="199">
      <c r="A199" s="182" t="s">
        <v>192</v>
      </c>
      <c r="B199" s="183" t="s">
        <v>182</v>
      </c>
      <c r="C199" s="183">
        <v>270.0</v>
      </c>
      <c r="D199" s="183">
        <v>1.0</v>
      </c>
      <c r="E199" s="183">
        <v>2.0</v>
      </c>
      <c r="F199" s="184">
        <v>6000.0</v>
      </c>
      <c r="G199" s="185">
        <f t="shared" si="15"/>
        <v>12000</v>
      </c>
      <c r="H199" s="187" t="s">
        <v>193</v>
      </c>
    </row>
    <row r="200">
      <c r="A200" s="182" t="s">
        <v>194</v>
      </c>
      <c r="B200" s="183" t="s">
        <v>182</v>
      </c>
      <c r="C200" s="183">
        <v>270.0</v>
      </c>
      <c r="D200" s="183">
        <v>1.0</v>
      </c>
      <c r="E200" s="183">
        <v>1.0</v>
      </c>
      <c r="F200" s="204">
        <v>15000.0</v>
      </c>
      <c r="G200" s="185">
        <f t="shared" si="15"/>
        <v>15000</v>
      </c>
      <c r="H200" s="187" t="s">
        <v>195</v>
      </c>
    </row>
    <row r="201">
      <c r="A201" s="191" t="s">
        <v>93</v>
      </c>
      <c r="B201" s="12"/>
      <c r="C201" s="12"/>
      <c r="D201" s="12"/>
      <c r="E201" s="12"/>
      <c r="F201" s="12"/>
      <c r="G201" s="13"/>
      <c r="H201" s="192">
        <f>SUM(G191:G200)</f>
        <v>224200</v>
      </c>
    </row>
    <row r="202">
      <c r="A202" s="193"/>
      <c r="B202" s="194"/>
      <c r="C202" s="194"/>
      <c r="D202" s="194"/>
      <c r="E202" s="194"/>
      <c r="F202" s="195"/>
      <c r="G202" s="195"/>
      <c r="H202" s="196"/>
    </row>
    <row r="203">
      <c r="A203" s="197" t="s">
        <v>196</v>
      </c>
      <c r="B203" s="198"/>
      <c r="C203" s="198"/>
      <c r="D203" s="198"/>
      <c r="E203" s="198"/>
      <c r="F203" s="199"/>
      <c r="G203" s="199"/>
      <c r="H203" s="198"/>
    </row>
    <row r="204">
      <c r="A204" s="201" t="s">
        <v>65</v>
      </c>
      <c r="B204" s="202"/>
      <c r="C204" s="202"/>
      <c r="D204" s="202"/>
      <c r="E204" s="202"/>
      <c r="F204" s="203"/>
      <c r="G204" s="203"/>
      <c r="H204" s="202"/>
    </row>
    <row r="205">
      <c r="A205" s="212" t="s">
        <v>66</v>
      </c>
      <c r="B205" s="213" t="s">
        <v>67</v>
      </c>
      <c r="C205" s="179" t="s">
        <v>68</v>
      </c>
      <c r="D205" s="179" t="s">
        <v>69</v>
      </c>
      <c r="E205" s="179" t="s">
        <v>70</v>
      </c>
      <c r="F205" s="180" t="s">
        <v>71</v>
      </c>
      <c r="G205" s="180" t="s">
        <v>72</v>
      </c>
      <c r="H205" s="214" t="s">
        <v>73</v>
      </c>
    </row>
    <row r="206">
      <c r="A206" s="182" t="s">
        <v>163</v>
      </c>
      <c r="B206" s="183" t="s">
        <v>164</v>
      </c>
      <c r="C206" s="183">
        <v>270.0</v>
      </c>
      <c r="D206" s="183">
        <v>1.0</v>
      </c>
      <c r="E206" s="183">
        <v>3.0</v>
      </c>
      <c r="F206" s="184">
        <v>400.0</v>
      </c>
      <c r="G206" s="185">
        <f t="shared" ref="G206:G208" si="16">SUM(D206*E206*F206)</f>
        <v>1200</v>
      </c>
      <c r="H206" s="186" t="s">
        <v>188</v>
      </c>
    </row>
    <row r="207">
      <c r="A207" s="182" t="s">
        <v>170</v>
      </c>
      <c r="B207" s="183" t="s">
        <v>164</v>
      </c>
      <c r="C207" s="183">
        <v>270.0</v>
      </c>
      <c r="D207" s="183">
        <v>2.0</v>
      </c>
      <c r="E207" s="183">
        <v>3.0</v>
      </c>
      <c r="F207" s="184">
        <v>500.0</v>
      </c>
      <c r="G207" s="185">
        <f t="shared" si="16"/>
        <v>3000</v>
      </c>
      <c r="H207" s="186" t="s">
        <v>191</v>
      </c>
    </row>
    <row r="208">
      <c r="A208" s="182" t="s">
        <v>167</v>
      </c>
      <c r="B208" s="183" t="s">
        <v>75</v>
      </c>
      <c r="C208" s="183">
        <v>270.0</v>
      </c>
      <c r="D208" s="183">
        <v>1.0</v>
      </c>
      <c r="E208" s="183">
        <v>1.0</v>
      </c>
      <c r="F208" s="184">
        <v>5000.0</v>
      </c>
      <c r="G208" s="185">
        <f t="shared" si="16"/>
        <v>5000</v>
      </c>
      <c r="H208" s="186" t="s">
        <v>197</v>
      </c>
    </row>
    <row r="209">
      <c r="A209" s="191" t="s">
        <v>93</v>
      </c>
      <c r="B209" s="12"/>
      <c r="C209" s="12"/>
      <c r="D209" s="12"/>
      <c r="E209" s="12"/>
      <c r="F209" s="12"/>
      <c r="G209" s="13"/>
      <c r="H209" s="192">
        <f>SUM(G206:G208)</f>
        <v>9200</v>
      </c>
    </row>
    <row r="210">
      <c r="A210" s="193"/>
      <c r="B210" s="194"/>
      <c r="C210" s="194"/>
      <c r="D210" s="194"/>
      <c r="E210" s="194"/>
      <c r="F210" s="195"/>
      <c r="G210" s="195"/>
      <c r="H210" s="196"/>
    </row>
    <row r="211">
      <c r="A211" s="197" t="s">
        <v>198</v>
      </c>
      <c r="B211" s="198"/>
      <c r="C211" s="198"/>
      <c r="D211" s="198"/>
      <c r="E211" s="198"/>
      <c r="F211" s="199"/>
      <c r="G211" s="199"/>
      <c r="H211" s="198"/>
    </row>
    <row r="212">
      <c r="A212" s="201" t="s">
        <v>65</v>
      </c>
      <c r="B212" s="202"/>
      <c r="C212" s="202"/>
      <c r="D212" s="202"/>
      <c r="E212" s="202"/>
      <c r="F212" s="203"/>
      <c r="G212" s="203"/>
      <c r="H212" s="202"/>
    </row>
    <row r="213">
      <c r="A213" s="212" t="s">
        <v>66</v>
      </c>
      <c r="B213" s="213" t="s">
        <v>67</v>
      </c>
      <c r="C213" s="179" t="s">
        <v>68</v>
      </c>
      <c r="D213" s="179" t="s">
        <v>69</v>
      </c>
      <c r="E213" s="179" t="s">
        <v>70</v>
      </c>
      <c r="F213" s="180" t="s">
        <v>71</v>
      </c>
      <c r="G213" s="180" t="s">
        <v>72</v>
      </c>
      <c r="H213" s="214" t="s">
        <v>73</v>
      </c>
    </row>
    <row r="214">
      <c r="A214" s="182" t="s">
        <v>163</v>
      </c>
      <c r="B214" s="183" t="s">
        <v>164</v>
      </c>
      <c r="C214" s="183">
        <v>270.0</v>
      </c>
      <c r="D214" s="183">
        <v>1.0</v>
      </c>
      <c r="E214" s="183">
        <v>3.0</v>
      </c>
      <c r="F214" s="184">
        <v>400.0</v>
      </c>
      <c r="G214" s="185">
        <f t="shared" ref="G214:G216" si="17">SUM(D214*E214*F214)</f>
        <v>1200</v>
      </c>
      <c r="H214" s="186" t="s">
        <v>188</v>
      </c>
    </row>
    <row r="215">
      <c r="A215" s="182" t="s">
        <v>170</v>
      </c>
      <c r="B215" s="183" t="s">
        <v>164</v>
      </c>
      <c r="C215" s="183">
        <v>270.0</v>
      </c>
      <c r="D215" s="183">
        <v>2.0</v>
      </c>
      <c r="E215" s="183">
        <v>3.0</v>
      </c>
      <c r="F215" s="184">
        <v>500.0</v>
      </c>
      <c r="G215" s="185">
        <f t="shared" si="17"/>
        <v>3000</v>
      </c>
      <c r="H215" s="186" t="s">
        <v>191</v>
      </c>
    </row>
    <row r="216">
      <c r="A216" s="182" t="s">
        <v>167</v>
      </c>
      <c r="B216" s="183" t="s">
        <v>75</v>
      </c>
      <c r="C216" s="183">
        <v>270.0</v>
      </c>
      <c r="D216" s="183">
        <v>1.0</v>
      </c>
      <c r="E216" s="183">
        <v>1.0</v>
      </c>
      <c r="F216" s="184">
        <v>5000.0</v>
      </c>
      <c r="G216" s="185">
        <f t="shared" si="17"/>
        <v>5000</v>
      </c>
      <c r="H216" s="186" t="s">
        <v>197</v>
      </c>
    </row>
    <row r="217">
      <c r="A217" s="191" t="s">
        <v>93</v>
      </c>
      <c r="B217" s="12"/>
      <c r="C217" s="12"/>
      <c r="D217" s="12"/>
      <c r="E217" s="12"/>
      <c r="F217" s="12"/>
      <c r="G217" s="13"/>
      <c r="H217" s="192">
        <f>SUM(G215:G216)</f>
        <v>8000</v>
      </c>
    </row>
    <row r="218">
      <c r="A218" s="193"/>
      <c r="B218" s="194"/>
      <c r="C218" s="194"/>
      <c r="D218" s="194"/>
      <c r="E218" s="194"/>
      <c r="F218" s="195"/>
      <c r="G218" s="195"/>
      <c r="H218" s="196"/>
    </row>
    <row r="219">
      <c r="A219" s="197" t="s">
        <v>199</v>
      </c>
      <c r="B219" s="198"/>
      <c r="C219" s="198"/>
      <c r="D219" s="198"/>
      <c r="E219" s="198"/>
      <c r="F219" s="199"/>
      <c r="G219" s="199"/>
      <c r="H219" s="198"/>
    </row>
    <row r="220">
      <c r="A220" s="201" t="s">
        <v>65</v>
      </c>
      <c r="B220" s="202"/>
      <c r="C220" s="202"/>
      <c r="D220" s="202"/>
      <c r="E220" s="202"/>
      <c r="F220" s="203"/>
      <c r="G220" s="203"/>
      <c r="H220" s="202"/>
    </row>
    <row r="221">
      <c r="A221" s="212" t="s">
        <v>66</v>
      </c>
      <c r="B221" s="213" t="s">
        <v>67</v>
      </c>
      <c r="C221" s="179" t="s">
        <v>68</v>
      </c>
      <c r="D221" s="179" t="s">
        <v>69</v>
      </c>
      <c r="E221" s="179" t="s">
        <v>70</v>
      </c>
      <c r="F221" s="180" t="s">
        <v>71</v>
      </c>
      <c r="G221" s="180" t="s">
        <v>72</v>
      </c>
      <c r="H221" s="214" t="s">
        <v>73</v>
      </c>
    </row>
    <row r="222">
      <c r="A222" s="182" t="s">
        <v>163</v>
      </c>
      <c r="B222" s="183" t="s">
        <v>164</v>
      </c>
      <c r="C222" s="183">
        <v>270.0</v>
      </c>
      <c r="D222" s="183">
        <v>1.0</v>
      </c>
      <c r="E222" s="183">
        <v>3.0</v>
      </c>
      <c r="F222" s="184">
        <v>400.0</v>
      </c>
      <c r="G222" s="185">
        <f t="shared" ref="G222:G224" si="18">SUM(D222*E222*F222)</f>
        <v>1200</v>
      </c>
      <c r="H222" s="186" t="s">
        <v>188</v>
      </c>
    </row>
    <row r="223">
      <c r="A223" s="182" t="s">
        <v>170</v>
      </c>
      <c r="B223" s="183" t="s">
        <v>164</v>
      </c>
      <c r="C223" s="183">
        <v>270.0</v>
      </c>
      <c r="D223" s="183">
        <v>2.0</v>
      </c>
      <c r="E223" s="183">
        <v>3.0</v>
      </c>
      <c r="F223" s="184">
        <v>500.0</v>
      </c>
      <c r="G223" s="185">
        <f t="shared" si="18"/>
        <v>3000</v>
      </c>
      <c r="H223" s="186" t="s">
        <v>191</v>
      </c>
    </row>
    <row r="224">
      <c r="A224" s="182" t="s">
        <v>167</v>
      </c>
      <c r="B224" s="183" t="s">
        <v>75</v>
      </c>
      <c r="C224" s="183">
        <v>270.0</v>
      </c>
      <c r="D224" s="183">
        <v>1.0</v>
      </c>
      <c r="E224" s="183">
        <v>1.0</v>
      </c>
      <c r="F224" s="184">
        <v>5000.0</v>
      </c>
      <c r="G224" s="185">
        <f t="shared" si="18"/>
        <v>5000</v>
      </c>
      <c r="H224" s="186" t="s">
        <v>197</v>
      </c>
    </row>
    <row r="225">
      <c r="A225" s="191" t="s">
        <v>93</v>
      </c>
      <c r="B225" s="12"/>
      <c r="C225" s="12"/>
      <c r="D225" s="12"/>
      <c r="E225" s="12"/>
      <c r="F225" s="12"/>
      <c r="G225" s="13"/>
      <c r="H225" s="192">
        <f>SUM(G222:G224)</f>
        <v>9200</v>
      </c>
    </row>
    <row r="226">
      <c r="A226" s="193"/>
      <c r="B226" s="194"/>
      <c r="C226" s="194"/>
      <c r="D226" s="194"/>
      <c r="E226" s="194"/>
      <c r="F226" s="195"/>
      <c r="G226" s="195"/>
      <c r="H226" s="196"/>
    </row>
    <row r="227">
      <c r="A227" s="197" t="s">
        <v>200</v>
      </c>
      <c r="B227" s="198"/>
      <c r="C227" s="198"/>
      <c r="D227" s="198"/>
      <c r="E227" s="198"/>
      <c r="F227" s="199"/>
      <c r="G227" s="199"/>
      <c r="H227" s="198"/>
    </row>
    <row r="228">
      <c r="A228" s="201" t="s">
        <v>65</v>
      </c>
      <c r="B228" s="202"/>
      <c r="C228" s="202"/>
      <c r="D228" s="202"/>
      <c r="E228" s="202"/>
      <c r="F228" s="203"/>
      <c r="G228" s="203"/>
      <c r="H228" s="202"/>
    </row>
    <row r="229">
      <c r="A229" s="212" t="s">
        <v>66</v>
      </c>
      <c r="B229" s="213" t="s">
        <v>67</v>
      </c>
      <c r="C229" s="179" t="s">
        <v>68</v>
      </c>
      <c r="D229" s="179" t="s">
        <v>69</v>
      </c>
      <c r="E229" s="179" t="s">
        <v>70</v>
      </c>
      <c r="F229" s="180" t="s">
        <v>71</v>
      </c>
      <c r="G229" s="180" t="s">
        <v>72</v>
      </c>
      <c r="H229" s="214" t="s">
        <v>73</v>
      </c>
    </row>
    <row r="230">
      <c r="A230" s="182" t="s">
        <v>163</v>
      </c>
      <c r="B230" s="183" t="s">
        <v>164</v>
      </c>
      <c r="C230" s="183">
        <v>270.0</v>
      </c>
      <c r="D230" s="183">
        <v>1.0</v>
      </c>
      <c r="E230" s="183">
        <v>3.0</v>
      </c>
      <c r="F230" s="184">
        <v>400.0</v>
      </c>
      <c r="G230" s="185">
        <f t="shared" ref="G230:G232" si="19">SUM(D230*E230*F230)</f>
        <v>1200</v>
      </c>
      <c r="H230" s="186" t="s">
        <v>188</v>
      </c>
    </row>
    <row r="231">
      <c r="A231" s="182" t="s">
        <v>170</v>
      </c>
      <c r="B231" s="183" t="s">
        <v>164</v>
      </c>
      <c r="C231" s="183">
        <v>270.0</v>
      </c>
      <c r="D231" s="183">
        <v>2.0</v>
      </c>
      <c r="E231" s="183">
        <v>3.0</v>
      </c>
      <c r="F231" s="184">
        <v>500.0</v>
      </c>
      <c r="G231" s="185">
        <f t="shared" si="19"/>
        <v>3000</v>
      </c>
      <c r="H231" s="186" t="s">
        <v>191</v>
      </c>
    </row>
    <row r="232">
      <c r="A232" s="182" t="s">
        <v>167</v>
      </c>
      <c r="B232" s="183" t="s">
        <v>75</v>
      </c>
      <c r="C232" s="183">
        <v>270.0</v>
      </c>
      <c r="D232" s="183">
        <v>1.0</v>
      </c>
      <c r="E232" s="183">
        <v>1.0</v>
      </c>
      <c r="F232" s="184">
        <v>5000.0</v>
      </c>
      <c r="G232" s="185">
        <f t="shared" si="19"/>
        <v>5000</v>
      </c>
      <c r="H232" s="186" t="s">
        <v>197</v>
      </c>
    </row>
    <row r="233">
      <c r="A233" s="191" t="s">
        <v>93</v>
      </c>
      <c r="B233" s="12"/>
      <c r="C233" s="12"/>
      <c r="D233" s="12"/>
      <c r="E233" s="12"/>
      <c r="F233" s="12"/>
      <c r="G233" s="13"/>
      <c r="H233" s="192">
        <f>SUM(G230:G232)</f>
        <v>9200</v>
      </c>
    </row>
    <row r="234">
      <c r="A234" s="193"/>
      <c r="B234" s="194"/>
      <c r="C234" s="194"/>
      <c r="D234" s="194"/>
      <c r="E234" s="194"/>
      <c r="F234" s="195"/>
      <c r="G234" s="195"/>
      <c r="H234" s="196"/>
    </row>
    <row r="235">
      <c r="A235" s="197" t="s">
        <v>201</v>
      </c>
      <c r="B235" s="198"/>
      <c r="C235" s="198"/>
      <c r="D235" s="198"/>
      <c r="E235" s="198"/>
      <c r="F235" s="199"/>
      <c r="G235" s="199"/>
      <c r="H235" s="198"/>
    </row>
    <row r="236">
      <c r="A236" s="201" t="s">
        <v>65</v>
      </c>
      <c r="B236" s="202"/>
      <c r="C236" s="202"/>
      <c r="D236" s="202"/>
      <c r="E236" s="202"/>
      <c r="F236" s="203"/>
      <c r="G236" s="203"/>
      <c r="H236" s="202"/>
    </row>
    <row r="237">
      <c r="A237" s="212" t="s">
        <v>66</v>
      </c>
      <c r="B237" s="213" t="s">
        <v>67</v>
      </c>
      <c r="C237" s="179" t="s">
        <v>68</v>
      </c>
      <c r="D237" s="179" t="s">
        <v>69</v>
      </c>
      <c r="E237" s="179" t="s">
        <v>70</v>
      </c>
      <c r="F237" s="180" t="s">
        <v>71</v>
      </c>
      <c r="G237" s="180" t="s">
        <v>72</v>
      </c>
      <c r="H237" s="214" t="s">
        <v>73</v>
      </c>
    </row>
    <row r="238">
      <c r="A238" s="182" t="s">
        <v>163</v>
      </c>
      <c r="B238" s="183" t="s">
        <v>164</v>
      </c>
      <c r="C238" s="183">
        <v>270.0</v>
      </c>
      <c r="D238" s="183">
        <v>1.0</v>
      </c>
      <c r="E238" s="183">
        <v>3.0</v>
      </c>
      <c r="F238" s="184">
        <v>400.0</v>
      </c>
      <c r="G238" s="185">
        <f t="shared" ref="G238:G240" si="20">SUM(D238*E238*F238)</f>
        <v>1200</v>
      </c>
      <c r="H238" s="186" t="s">
        <v>188</v>
      </c>
    </row>
    <row r="239">
      <c r="A239" s="182" t="s">
        <v>170</v>
      </c>
      <c r="B239" s="183" t="s">
        <v>164</v>
      </c>
      <c r="C239" s="183">
        <v>270.0</v>
      </c>
      <c r="D239" s="183">
        <v>2.0</v>
      </c>
      <c r="E239" s="183">
        <v>3.0</v>
      </c>
      <c r="F239" s="184">
        <v>500.0</v>
      </c>
      <c r="G239" s="185">
        <f t="shared" si="20"/>
        <v>3000</v>
      </c>
      <c r="H239" s="186" t="s">
        <v>191</v>
      </c>
    </row>
    <row r="240">
      <c r="A240" s="182" t="s">
        <v>167</v>
      </c>
      <c r="B240" s="183" t="s">
        <v>75</v>
      </c>
      <c r="C240" s="183">
        <v>270.0</v>
      </c>
      <c r="D240" s="183">
        <v>1.0</v>
      </c>
      <c r="E240" s="183">
        <v>1.0</v>
      </c>
      <c r="F240" s="184">
        <v>5000.0</v>
      </c>
      <c r="G240" s="185">
        <f t="shared" si="20"/>
        <v>5000</v>
      </c>
      <c r="H240" s="186" t="s">
        <v>197</v>
      </c>
    </row>
    <row r="241">
      <c r="A241" s="191" t="s">
        <v>93</v>
      </c>
      <c r="B241" s="12"/>
      <c r="C241" s="12"/>
      <c r="D241" s="12"/>
      <c r="E241" s="12"/>
      <c r="F241" s="12"/>
      <c r="G241" s="13"/>
      <c r="H241" s="192">
        <f>SUM(G238:G240)</f>
        <v>9200</v>
      </c>
    </row>
    <row r="242">
      <c r="A242" s="193"/>
      <c r="B242" s="194"/>
      <c r="C242" s="194"/>
      <c r="D242" s="194"/>
      <c r="E242" s="194"/>
      <c r="F242" s="195"/>
      <c r="G242" s="195"/>
      <c r="H242" s="196"/>
    </row>
    <row r="243">
      <c r="A243" s="197" t="s">
        <v>202</v>
      </c>
      <c r="B243" s="198"/>
      <c r="C243" s="198"/>
      <c r="D243" s="198"/>
      <c r="E243" s="198"/>
      <c r="F243" s="199"/>
      <c r="G243" s="199"/>
      <c r="H243" s="198"/>
    </row>
    <row r="244">
      <c r="A244" s="201" t="s">
        <v>65</v>
      </c>
      <c r="B244" s="202"/>
      <c r="C244" s="202"/>
      <c r="D244" s="202"/>
      <c r="E244" s="202"/>
      <c r="F244" s="203"/>
      <c r="G244" s="203"/>
      <c r="H244" s="202"/>
    </row>
    <row r="245">
      <c r="A245" s="212" t="s">
        <v>66</v>
      </c>
      <c r="B245" s="213" t="s">
        <v>67</v>
      </c>
      <c r="C245" s="179" t="s">
        <v>68</v>
      </c>
      <c r="D245" s="179" t="s">
        <v>69</v>
      </c>
      <c r="E245" s="179" t="s">
        <v>70</v>
      </c>
      <c r="F245" s="180" t="s">
        <v>71</v>
      </c>
      <c r="G245" s="180" t="s">
        <v>72</v>
      </c>
      <c r="H245" s="214" t="s">
        <v>73</v>
      </c>
    </row>
    <row r="246">
      <c r="A246" s="182" t="s">
        <v>163</v>
      </c>
      <c r="B246" s="183" t="s">
        <v>164</v>
      </c>
      <c r="C246" s="183">
        <v>270.0</v>
      </c>
      <c r="D246" s="183">
        <v>1.0</v>
      </c>
      <c r="E246" s="183">
        <v>3.0</v>
      </c>
      <c r="F246" s="184">
        <v>400.0</v>
      </c>
      <c r="G246" s="185">
        <f t="shared" ref="G246:G248" si="21">SUM(D246*E246*F246)</f>
        <v>1200</v>
      </c>
      <c r="H246" s="186" t="s">
        <v>188</v>
      </c>
    </row>
    <row r="247">
      <c r="A247" s="182" t="s">
        <v>170</v>
      </c>
      <c r="B247" s="183" t="s">
        <v>164</v>
      </c>
      <c r="C247" s="183">
        <v>270.0</v>
      </c>
      <c r="D247" s="183">
        <v>2.0</v>
      </c>
      <c r="E247" s="183">
        <v>3.0</v>
      </c>
      <c r="F247" s="184">
        <v>500.0</v>
      </c>
      <c r="G247" s="185">
        <f t="shared" si="21"/>
        <v>3000</v>
      </c>
      <c r="H247" s="186" t="s">
        <v>191</v>
      </c>
    </row>
    <row r="248">
      <c r="A248" s="182" t="s">
        <v>167</v>
      </c>
      <c r="B248" s="183" t="s">
        <v>75</v>
      </c>
      <c r="C248" s="183">
        <v>270.0</v>
      </c>
      <c r="D248" s="183">
        <v>1.0</v>
      </c>
      <c r="E248" s="183">
        <v>1.0</v>
      </c>
      <c r="F248" s="184">
        <v>5000.0</v>
      </c>
      <c r="G248" s="185">
        <f t="shared" si="21"/>
        <v>5000</v>
      </c>
      <c r="H248" s="186" t="s">
        <v>197</v>
      </c>
    </row>
    <row r="249">
      <c r="A249" s="191" t="s">
        <v>93</v>
      </c>
      <c r="B249" s="12"/>
      <c r="C249" s="12"/>
      <c r="D249" s="12"/>
      <c r="E249" s="12"/>
      <c r="F249" s="12"/>
      <c r="G249" s="13"/>
      <c r="H249" s="192">
        <f>SUM(G246:G248)</f>
        <v>9200</v>
      </c>
    </row>
    <row r="250">
      <c r="A250" s="193"/>
      <c r="B250" s="194"/>
      <c r="C250" s="194"/>
      <c r="D250" s="194"/>
      <c r="E250" s="194"/>
      <c r="F250" s="195"/>
      <c r="G250" s="195"/>
      <c r="H250" s="196"/>
    </row>
    <row r="251">
      <c r="A251" s="197" t="s">
        <v>168</v>
      </c>
      <c r="B251" s="198"/>
      <c r="C251" s="198"/>
      <c r="D251" s="198"/>
      <c r="E251" s="198"/>
      <c r="F251" s="199"/>
      <c r="G251" s="199"/>
      <c r="H251" s="198"/>
    </row>
    <row r="252">
      <c r="A252" s="201" t="s">
        <v>65</v>
      </c>
      <c r="B252" s="202"/>
      <c r="C252" s="202"/>
      <c r="D252" s="202"/>
      <c r="E252" s="202"/>
      <c r="F252" s="203"/>
      <c r="G252" s="203"/>
      <c r="H252" s="202"/>
    </row>
    <row r="253">
      <c r="A253" s="212" t="s">
        <v>66</v>
      </c>
      <c r="B253" s="213" t="s">
        <v>67</v>
      </c>
      <c r="C253" s="179" t="s">
        <v>68</v>
      </c>
      <c r="D253" s="179" t="s">
        <v>69</v>
      </c>
      <c r="E253" s="179" t="s">
        <v>70</v>
      </c>
      <c r="F253" s="180" t="s">
        <v>71</v>
      </c>
      <c r="G253" s="180" t="s">
        <v>72</v>
      </c>
      <c r="H253" s="214" t="s">
        <v>73</v>
      </c>
    </row>
    <row r="254">
      <c r="A254" s="182" t="s">
        <v>163</v>
      </c>
      <c r="B254" s="183" t="s">
        <v>164</v>
      </c>
      <c r="C254" s="183">
        <v>270.0</v>
      </c>
      <c r="D254" s="183">
        <v>1.0</v>
      </c>
      <c r="E254" s="183">
        <v>3.0</v>
      </c>
      <c r="F254" s="184">
        <v>400.0</v>
      </c>
      <c r="G254" s="185">
        <f t="shared" ref="G254:G256" si="22">SUM(D254*E254*F254)</f>
        <v>1200</v>
      </c>
      <c r="H254" s="186" t="s">
        <v>188</v>
      </c>
    </row>
    <row r="255">
      <c r="A255" s="182" t="s">
        <v>170</v>
      </c>
      <c r="B255" s="183" t="s">
        <v>164</v>
      </c>
      <c r="C255" s="183">
        <v>270.0</v>
      </c>
      <c r="D255" s="183">
        <v>2.0</v>
      </c>
      <c r="E255" s="183">
        <v>3.0</v>
      </c>
      <c r="F255" s="184">
        <v>500.0</v>
      </c>
      <c r="G255" s="185">
        <f t="shared" si="22"/>
        <v>3000</v>
      </c>
      <c r="H255" s="186" t="s">
        <v>191</v>
      </c>
    </row>
    <row r="256">
      <c r="A256" s="182" t="s">
        <v>167</v>
      </c>
      <c r="B256" s="183" t="s">
        <v>75</v>
      </c>
      <c r="C256" s="183">
        <v>270.0</v>
      </c>
      <c r="D256" s="183">
        <v>1.0</v>
      </c>
      <c r="E256" s="183">
        <v>1.0</v>
      </c>
      <c r="F256" s="184">
        <v>5000.0</v>
      </c>
      <c r="G256" s="185">
        <f t="shared" si="22"/>
        <v>5000</v>
      </c>
      <c r="H256" s="186" t="s">
        <v>197</v>
      </c>
    </row>
    <row r="257">
      <c r="A257" s="191" t="s">
        <v>93</v>
      </c>
      <c r="B257" s="12"/>
      <c r="C257" s="12"/>
      <c r="D257" s="12"/>
      <c r="E257" s="12"/>
      <c r="F257" s="12"/>
      <c r="G257" s="13"/>
      <c r="H257" s="192">
        <f>SUM(G254:G256)</f>
        <v>9200</v>
      </c>
    </row>
    <row r="258">
      <c r="A258" s="193"/>
      <c r="B258" s="194"/>
      <c r="C258" s="194"/>
      <c r="D258" s="194"/>
      <c r="E258" s="194"/>
      <c r="F258" s="195"/>
      <c r="G258" s="195"/>
      <c r="H258" s="196"/>
    </row>
    <row r="259">
      <c r="A259" s="197" t="s">
        <v>173</v>
      </c>
      <c r="B259" s="198"/>
      <c r="C259" s="198"/>
      <c r="D259" s="198"/>
      <c r="E259" s="198"/>
      <c r="F259" s="199"/>
      <c r="G259" s="199"/>
      <c r="H259" s="198"/>
    </row>
    <row r="260">
      <c r="A260" s="201" t="s">
        <v>65</v>
      </c>
      <c r="B260" s="202"/>
      <c r="C260" s="202"/>
      <c r="D260" s="202"/>
      <c r="E260" s="202"/>
      <c r="F260" s="203"/>
      <c r="G260" s="203"/>
      <c r="H260" s="202"/>
    </row>
    <row r="261">
      <c r="A261" s="212" t="s">
        <v>66</v>
      </c>
      <c r="B261" s="213" t="s">
        <v>67</v>
      </c>
      <c r="C261" s="179" t="s">
        <v>68</v>
      </c>
      <c r="D261" s="179" t="s">
        <v>69</v>
      </c>
      <c r="E261" s="179" t="s">
        <v>70</v>
      </c>
      <c r="F261" s="180" t="s">
        <v>71</v>
      </c>
      <c r="G261" s="180" t="s">
        <v>72</v>
      </c>
      <c r="H261" s="214" t="s">
        <v>73</v>
      </c>
    </row>
    <row r="262">
      <c r="A262" s="182" t="s">
        <v>163</v>
      </c>
      <c r="B262" s="183" t="s">
        <v>164</v>
      </c>
      <c r="C262" s="183">
        <v>270.0</v>
      </c>
      <c r="D262" s="183">
        <v>1.0</v>
      </c>
      <c r="E262" s="183">
        <v>3.0</v>
      </c>
      <c r="F262" s="184">
        <v>400.0</v>
      </c>
      <c r="G262" s="185">
        <f t="shared" ref="G262:G264" si="23">SUM(D262*E262*F262)</f>
        <v>1200</v>
      </c>
      <c r="H262" s="186" t="s">
        <v>188</v>
      </c>
    </row>
    <row r="263">
      <c r="A263" s="182" t="s">
        <v>170</v>
      </c>
      <c r="B263" s="183" t="s">
        <v>164</v>
      </c>
      <c r="C263" s="183">
        <v>270.0</v>
      </c>
      <c r="D263" s="183">
        <v>2.0</v>
      </c>
      <c r="E263" s="183">
        <v>3.0</v>
      </c>
      <c r="F263" s="184">
        <v>500.0</v>
      </c>
      <c r="G263" s="185">
        <f t="shared" si="23"/>
        <v>3000</v>
      </c>
      <c r="H263" s="186" t="s">
        <v>191</v>
      </c>
    </row>
    <row r="264">
      <c r="A264" s="182" t="s">
        <v>167</v>
      </c>
      <c r="B264" s="183" t="s">
        <v>75</v>
      </c>
      <c r="C264" s="183">
        <v>270.0</v>
      </c>
      <c r="D264" s="183">
        <v>1.0</v>
      </c>
      <c r="E264" s="183">
        <v>1.0</v>
      </c>
      <c r="F264" s="184">
        <v>5000.0</v>
      </c>
      <c r="G264" s="185">
        <f t="shared" si="23"/>
        <v>5000</v>
      </c>
      <c r="H264" s="186" t="s">
        <v>197</v>
      </c>
    </row>
    <row r="265">
      <c r="A265" s="191" t="s">
        <v>93</v>
      </c>
      <c r="B265" s="12"/>
      <c r="C265" s="12"/>
      <c r="D265" s="12"/>
      <c r="E265" s="12"/>
      <c r="F265" s="12"/>
      <c r="G265" s="13"/>
      <c r="H265" s="192">
        <f>SUM(G262:G264)</f>
        <v>9200</v>
      </c>
    </row>
    <row r="266">
      <c r="A266" s="193"/>
      <c r="B266" s="194"/>
      <c r="C266" s="194"/>
      <c r="D266" s="194"/>
      <c r="E266" s="194"/>
      <c r="F266" s="195"/>
      <c r="G266" s="195"/>
      <c r="H266" s="196"/>
    </row>
    <row r="267">
      <c r="A267" s="197" t="s">
        <v>174</v>
      </c>
      <c r="B267" s="198"/>
      <c r="C267" s="198"/>
      <c r="D267" s="198"/>
      <c r="E267" s="198"/>
      <c r="F267" s="199"/>
      <c r="G267" s="199"/>
      <c r="H267" s="198"/>
    </row>
    <row r="268">
      <c r="A268" s="201" t="s">
        <v>65</v>
      </c>
      <c r="B268" s="202"/>
      <c r="C268" s="202"/>
      <c r="D268" s="202"/>
      <c r="E268" s="202"/>
      <c r="F268" s="203"/>
      <c r="G268" s="203"/>
      <c r="H268" s="202"/>
    </row>
    <row r="269">
      <c r="A269" s="212" t="s">
        <v>66</v>
      </c>
      <c r="B269" s="213" t="s">
        <v>67</v>
      </c>
      <c r="C269" s="179" t="s">
        <v>68</v>
      </c>
      <c r="D269" s="179" t="s">
        <v>69</v>
      </c>
      <c r="E269" s="179" t="s">
        <v>70</v>
      </c>
      <c r="F269" s="180" t="s">
        <v>71</v>
      </c>
      <c r="G269" s="180" t="s">
        <v>72</v>
      </c>
      <c r="H269" s="214" t="s">
        <v>73</v>
      </c>
    </row>
    <row r="270">
      <c r="A270" s="182" t="s">
        <v>163</v>
      </c>
      <c r="B270" s="183" t="s">
        <v>164</v>
      </c>
      <c r="C270" s="183">
        <v>270.0</v>
      </c>
      <c r="D270" s="183">
        <v>1.0</v>
      </c>
      <c r="E270" s="183">
        <v>3.0</v>
      </c>
      <c r="F270" s="184">
        <v>400.0</v>
      </c>
      <c r="G270" s="185">
        <f t="shared" ref="G270:G272" si="24">SUM(D270*E270*F270)</f>
        <v>1200</v>
      </c>
      <c r="H270" s="186" t="s">
        <v>188</v>
      </c>
    </row>
    <row r="271">
      <c r="A271" s="182" t="s">
        <v>170</v>
      </c>
      <c r="B271" s="183" t="s">
        <v>164</v>
      </c>
      <c r="C271" s="183">
        <v>270.0</v>
      </c>
      <c r="D271" s="183">
        <v>2.0</v>
      </c>
      <c r="E271" s="183">
        <v>3.0</v>
      </c>
      <c r="F271" s="184">
        <v>500.0</v>
      </c>
      <c r="G271" s="185">
        <f t="shared" si="24"/>
        <v>3000</v>
      </c>
      <c r="H271" s="186" t="s">
        <v>191</v>
      </c>
    </row>
    <row r="272">
      <c r="A272" s="182" t="s">
        <v>167</v>
      </c>
      <c r="B272" s="183" t="s">
        <v>75</v>
      </c>
      <c r="C272" s="183">
        <v>270.0</v>
      </c>
      <c r="D272" s="183">
        <v>1.0</v>
      </c>
      <c r="E272" s="183">
        <v>1.0</v>
      </c>
      <c r="F272" s="184">
        <v>5000.0</v>
      </c>
      <c r="G272" s="185">
        <f t="shared" si="24"/>
        <v>5000</v>
      </c>
      <c r="H272" s="186" t="s">
        <v>197</v>
      </c>
    </row>
    <row r="273">
      <c r="A273" s="191" t="s">
        <v>93</v>
      </c>
      <c r="B273" s="12"/>
      <c r="C273" s="12"/>
      <c r="D273" s="12"/>
      <c r="E273" s="12"/>
      <c r="F273" s="12"/>
      <c r="G273" s="13"/>
      <c r="H273" s="192">
        <f>SUM(G270:G272)</f>
        <v>9200</v>
      </c>
    </row>
    <row r="274">
      <c r="A274" s="193"/>
      <c r="B274" s="194"/>
      <c r="C274" s="194"/>
      <c r="D274" s="194"/>
      <c r="E274" s="194"/>
      <c r="F274" s="195"/>
      <c r="G274" s="195"/>
      <c r="H274" s="196"/>
    </row>
    <row r="275">
      <c r="A275" s="211" t="s">
        <v>203</v>
      </c>
      <c r="B275" s="12"/>
      <c r="C275" s="12"/>
      <c r="D275" s="12"/>
      <c r="E275" s="12"/>
      <c r="F275" s="12"/>
      <c r="G275" s="12"/>
      <c r="H275" s="13"/>
    </row>
    <row r="276">
      <c r="A276" s="197" t="s">
        <v>175</v>
      </c>
      <c r="B276" s="198"/>
      <c r="C276" s="198"/>
      <c r="D276" s="198"/>
      <c r="E276" s="198"/>
      <c r="F276" s="199"/>
      <c r="G276" s="199"/>
      <c r="H276" s="198"/>
    </row>
    <row r="277">
      <c r="A277" s="201" t="s">
        <v>65</v>
      </c>
      <c r="B277" s="202"/>
      <c r="C277" s="202"/>
      <c r="D277" s="202"/>
      <c r="E277" s="202"/>
      <c r="F277" s="203"/>
      <c r="G277" s="203"/>
      <c r="H277" s="202"/>
    </row>
    <row r="278">
      <c r="A278" s="177" t="s">
        <v>66</v>
      </c>
      <c r="B278" s="178" t="s">
        <v>67</v>
      </c>
      <c r="C278" s="179" t="s">
        <v>68</v>
      </c>
      <c r="D278" s="179" t="s">
        <v>69</v>
      </c>
      <c r="E278" s="179" t="s">
        <v>70</v>
      </c>
      <c r="F278" s="180" t="s">
        <v>71</v>
      </c>
      <c r="G278" s="180" t="s">
        <v>72</v>
      </c>
      <c r="H278" s="179" t="s">
        <v>73</v>
      </c>
    </row>
    <row r="279">
      <c r="A279" s="182" t="s">
        <v>204</v>
      </c>
      <c r="B279" s="183" t="s">
        <v>178</v>
      </c>
      <c r="C279" s="183">
        <v>270.0</v>
      </c>
      <c r="D279" s="183">
        <v>1.0</v>
      </c>
      <c r="E279" s="183">
        <v>4.0</v>
      </c>
      <c r="F279" s="204">
        <v>3500.0</v>
      </c>
      <c r="G279" s="185">
        <f t="shared" ref="G279:G283" si="25">SUM(D279*E279*F279)</f>
        <v>14000</v>
      </c>
      <c r="H279" s="187" t="s">
        <v>205</v>
      </c>
    </row>
    <row r="280">
      <c r="A280" s="182" t="s">
        <v>163</v>
      </c>
      <c r="B280" s="183" t="s">
        <v>164</v>
      </c>
      <c r="C280" s="183">
        <v>270.0</v>
      </c>
      <c r="D280" s="183">
        <v>1.0</v>
      </c>
      <c r="E280" s="183">
        <v>3.0</v>
      </c>
      <c r="F280" s="184">
        <v>400.0</v>
      </c>
      <c r="G280" s="185">
        <f t="shared" si="25"/>
        <v>1200</v>
      </c>
      <c r="H280" s="187" t="s">
        <v>206</v>
      </c>
    </row>
    <row r="281">
      <c r="A281" s="182" t="s">
        <v>140</v>
      </c>
      <c r="B281" s="183" t="s">
        <v>67</v>
      </c>
      <c r="C281" s="183">
        <v>270.0</v>
      </c>
      <c r="D281" s="183">
        <v>400.0</v>
      </c>
      <c r="E281" s="183">
        <v>1.0</v>
      </c>
      <c r="F281" s="185">
        <v>20.0</v>
      </c>
      <c r="G281" s="185">
        <f t="shared" si="25"/>
        <v>8000</v>
      </c>
      <c r="H281" s="187" t="s">
        <v>207</v>
      </c>
    </row>
    <row r="282">
      <c r="A282" s="182" t="s">
        <v>170</v>
      </c>
      <c r="B282" s="183" t="s">
        <v>164</v>
      </c>
      <c r="C282" s="183">
        <v>270.0</v>
      </c>
      <c r="D282" s="183">
        <v>2.0</v>
      </c>
      <c r="E282" s="183">
        <v>3.0</v>
      </c>
      <c r="F282" s="184">
        <v>500.0</v>
      </c>
      <c r="G282" s="185">
        <f t="shared" si="25"/>
        <v>3000</v>
      </c>
      <c r="H282" s="186" t="s">
        <v>142</v>
      </c>
    </row>
    <row r="283">
      <c r="A283" s="182" t="s">
        <v>143</v>
      </c>
      <c r="B283" s="183" t="s">
        <v>161</v>
      </c>
      <c r="C283" s="183">
        <v>270.0</v>
      </c>
      <c r="D283" s="183">
        <v>2.0</v>
      </c>
      <c r="E283" s="183">
        <v>3.0</v>
      </c>
      <c r="F283" s="204">
        <v>1000.0</v>
      </c>
      <c r="G283" s="185">
        <f t="shared" si="25"/>
        <v>6000</v>
      </c>
      <c r="H283" s="187" t="s">
        <v>144</v>
      </c>
    </row>
    <row r="284">
      <c r="A284" s="215" t="s">
        <v>93</v>
      </c>
      <c r="B284" s="12"/>
      <c r="C284" s="12"/>
      <c r="D284" s="12"/>
      <c r="E284" s="12"/>
      <c r="F284" s="12"/>
      <c r="G284" s="13"/>
      <c r="H284" s="192">
        <f>SUM(G279:G283)</f>
        <v>32200</v>
      </c>
    </row>
    <row r="285">
      <c r="A285" s="193"/>
      <c r="B285" s="194"/>
      <c r="C285" s="194"/>
      <c r="D285" s="194"/>
      <c r="E285" s="194"/>
      <c r="F285" s="195"/>
      <c r="G285" s="195"/>
      <c r="H285" s="196"/>
    </row>
    <row r="286">
      <c r="A286" s="197" t="s">
        <v>208</v>
      </c>
      <c r="B286" s="198"/>
      <c r="C286" s="198"/>
      <c r="D286" s="198"/>
      <c r="E286" s="198"/>
      <c r="F286" s="199"/>
      <c r="G286" s="199"/>
      <c r="H286" s="198"/>
    </row>
    <row r="287">
      <c r="A287" s="201" t="s">
        <v>65</v>
      </c>
      <c r="B287" s="202"/>
      <c r="C287" s="202"/>
      <c r="D287" s="202"/>
      <c r="E287" s="202"/>
      <c r="F287" s="203"/>
      <c r="G287" s="203"/>
      <c r="H287" s="202"/>
    </row>
    <row r="288">
      <c r="A288" s="177" t="s">
        <v>66</v>
      </c>
      <c r="B288" s="178" t="s">
        <v>67</v>
      </c>
      <c r="C288" s="179" t="s">
        <v>68</v>
      </c>
      <c r="D288" s="179" t="s">
        <v>69</v>
      </c>
      <c r="E288" s="179" t="s">
        <v>70</v>
      </c>
      <c r="F288" s="180" t="s">
        <v>71</v>
      </c>
      <c r="G288" s="180" t="s">
        <v>72</v>
      </c>
      <c r="H288" s="179" t="s">
        <v>73</v>
      </c>
    </row>
    <row r="289">
      <c r="A289" s="182" t="s">
        <v>163</v>
      </c>
      <c r="B289" s="183" t="s">
        <v>164</v>
      </c>
      <c r="C289" s="183">
        <v>270.0</v>
      </c>
      <c r="D289" s="183">
        <v>1.0</v>
      </c>
      <c r="E289" s="183">
        <v>3.0</v>
      </c>
      <c r="F289" s="184">
        <v>400.0</v>
      </c>
      <c r="G289" s="185">
        <f t="shared" ref="G289:G292" si="26">SUM(D289*E289*F289)</f>
        <v>1200</v>
      </c>
      <c r="H289" s="187" t="s">
        <v>206</v>
      </c>
    </row>
    <row r="290">
      <c r="A290" s="182" t="s">
        <v>140</v>
      </c>
      <c r="B290" s="183" t="s">
        <v>67</v>
      </c>
      <c r="C290" s="183">
        <v>270.0</v>
      </c>
      <c r="D290" s="183">
        <v>400.0</v>
      </c>
      <c r="E290" s="183">
        <v>1.0</v>
      </c>
      <c r="F290" s="185">
        <v>20.0</v>
      </c>
      <c r="G290" s="185">
        <f t="shared" si="26"/>
        <v>8000</v>
      </c>
      <c r="H290" s="187" t="s">
        <v>207</v>
      </c>
    </row>
    <row r="291">
      <c r="A291" s="182" t="s">
        <v>170</v>
      </c>
      <c r="B291" s="183" t="s">
        <v>164</v>
      </c>
      <c r="C291" s="183">
        <v>270.0</v>
      </c>
      <c r="D291" s="183">
        <v>2.0</v>
      </c>
      <c r="E291" s="183">
        <v>3.0</v>
      </c>
      <c r="F291" s="184">
        <v>500.0</v>
      </c>
      <c r="G291" s="185">
        <f t="shared" si="26"/>
        <v>3000</v>
      </c>
      <c r="H291" s="186" t="s">
        <v>142</v>
      </c>
    </row>
    <row r="292">
      <c r="A292" s="182" t="s">
        <v>143</v>
      </c>
      <c r="B292" s="183" t="s">
        <v>161</v>
      </c>
      <c r="C292" s="183">
        <v>270.0</v>
      </c>
      <c r="D292" s="183">
        <v>2.0</v>
      </c>
      <c r="E292" s="183">
        <v>3.0</v>
      </c>
      <c r="F292" s="204">
        <v>1000.0</v>
      </c>
      <c r="G292" s="185">
        <f t="shared" si="26"/>
        <v>6000</v>
      </c>
      <c r="H292" s="187" t="s">
        <v>144</v>
      </c>
    </row>
    <row r="293">
      <c r="A293" s="215" t="s">
        <v>93</v>
      </c>
      <c r="B293" s="12"/>
      <c r="C293" s="12"/>
      <c r="D293" s="12"/>
      <c r="E293" s="12"/>
      <c r="F293" s="12"/>
      <c r="G293" s="13"/>
      <c r="H293" s="192">
        <f>SUM(G289:G292)</f>
        <v>18200</v>
      </c>
    </row>
    <row r="294">
      <c r="A294" s="193"/>
      <c r="B294" s="194"/>
      <c r="C294" s="194"/>
      <c r="D294" s="194"/>
      <c r="E294" s="194"/>
      <c r="F294" s="195"/>
      <c r="G294" s="195"/>
      <c r="H294" s="196"/>
    </row>
    <row r="295">
      <c r="A295" s="197" t="s">
        <v>198</v>
      </c>
      <c r="B295" s="198"/>
      <c r="C295" s="198"/>
      <c r="D295" s="198"/>
      <c r="E295" s="198"/>
      <c r="F295" s="199"/>
      <c r="G295" s="199"/>
      <c r="H295" s="198"/>
    </row>
    <row r="296">
      <c r="A296" s="201" t="s">
        <v>65</v>
      </c>
      <c r="B296" s="202"/>
      <c r="C296" s="202"/>
      <c r="D296" s="202"/>
      <c r="E296" s="202"/>
      <c r="F296" s="203"/>
      <c r="G296" s="203"/>
      <c r="H296" s="202"/>
    </row>
    <row r="297">
      <c r="A297" s="177" t="s">
        <v>66</v>
      </c>
      <c r="B297" s="178" t="s">
        <v>67</v>
      </c>
      <c r="C297" s="179" t="s">
        <v>68</v>
      </c>
      <c r="D297" s="179" t="s">
        <v>69</v>
      </c>
      <c r="E297" s="179" t="s">
        <v>70</v>
      </c>
      <c r="F297" s="180" t="s">
        <v>71</v>
      </c>
      <c r="G297" s="180" t="s">
        <v>72</v>
      </c>
      <c r="H297" s="179" t="s">
        <v>73</v>
      </c>
    </row>
    <row r="298">
      <c r="A298" s="182" t="s">
        <v>163</v>
      </c>
      <c r="B298" s="183" t="s">
        <v>164</v>
      </c>
      <c r="C298" s="183">
        <v>270.0</v>
      </c>
      <c r="D298" s="183">
        <v>1.0</v>
      </c>
      <c r="E298" s="183">
        <v>3.0</v>
      </c>
      <c r="F298" s="184">
        <v>400.0</v>
      </c>
      <c r="G298" s="185">
        <f t="shared" ref="G298:G301" si="27">SUM(D298*E298*F298)</f>
        <v>1200</v>
      </c>
      <c r="H298" s="187" t="s">
        <v>206</v>
      </c>
    </row>
    <row r="299">
      <c r="A299" s="182" t="s">
        <v>140</v>
      </c>
      <c r="B299" s="183" t="s">
        <v>67</v>
      </c>
      <c r="C299" s="183">
        <v>270.0</v>
      </c>
      <c r="D299" s="183">
        <v>400.0</v>
      </c>
      <c r="E299" s="183">
        <v>1.0</v>
      </c>
      <c r="F299" s="185">
        <v>20.0</v>
      </c>
      <c r="G299" s="185">
        <f t="shared" si="27"/>
        <v>8000</v>
      </c>
      <c r="H299" s="187" t="s">
        <v>207</v>
      </c>
    </row>
    <row r="300">
      <c r="A300" s="182" t="s">
        <v>170</v>
      </c>
      <c r="B300" s="183" t="s">
        <v>164</v>
      </c>
      <c r="C300" s="183">
        <v>270.0</v>
      </c>
      <c r="D300" s="183">
        <v>2.0</v>
      </c>
      <c r="E300" s="183">
        <v>3.0</v>
      </c>
      <c r="F300" s="184">
        <v>500.0</v>
      </c>
      <c r="G300" s="185">
        <f t="shared" si="27"/>
        <v>3000</v>
      </c>
      <c r="H300" s="186" t="s">
        <v>142</v>
      </c>
    </row>
    <row r="301">
      <c r="A301" s="182" t="s">
        <v>143</v>
      </c>
      <c r="B301" s="183" t="s">
        <v>161</v>
      </c>
      <c r="C301" s="183">
        <v>270.0</v>
      </c>
      <c r="D301" s="183">
        <v>2.0</v>
      </c>
      <c r="E301" s="183">
        <v>3.0</v>
      </c>
      <c r="F301" s="204">
        <v>1000.0</v>
      </c>
      <c r="G301" s="185">
        <f t="shared" si="27"/>
        <v>6000</v>
      </c>
      <c r="H301" s="187" t="s">
        <v>144</v>
      </c>
    </row>
    <row r="302">
      <c r="A302" s="215" t="s">
        <v>93</v>
      </c>
      <c r="B302" s="12"/>
      <c r="C302" s="12"/>
      <c r="D302" s="12"/>
      <c r="E302" s="12"/>
      <c r="F302" s="12"/>
      <c r="G302" s="13"/>
      <c r="H302" s="192">
        <f>SUM(G298:G301)</f>
        <v>18200</v>
      </c>
    </row>
    <row r="303">
      <c r="A303" s="193"/>
      <c r="B303" s="194"/>
      <c r="C303" s="194"/>
      <c r="D303" s="194"/>
      <c r="E303" s="194"/>
      <c r="F303" s="195"/>
      <c r="G303" s="195"/>
      <c r="H303" s="196"/>
    </row>
    <row r="304">
      <c r="A304" s="197" t="s">
        <v>199</v>
      </c>
      <c r="B304" s="198"/>
      <c r="C304" s="198"/>
      <c r="D304" s="198"/>
      <c r="E304" s="198"/>
      <c r="F304" s="199"/>
      <c r="G304" s="199"/>
      <c r="H304" s="198"/>
    </row>
    <row r="305">
      <c r="A305" s="201" t="s">
        <v>65</v>
      </c>
      <c r="B305" s="202"/>
      <c r="C305" s="202"/>
      <c r="D305" s="202"/>
      <c r="E305" s="202"/>
      <c r="F305" s="203"/>
      <c r="G305" s="203"/>
      <c r="H305" s="202"/>
    </row>
    <row r="306">
      <c r="A306" s="177" t="s">
        <v>66</v>
      </c>
      <c r="B306" s="178" t="s">
        <v>67</v>
      </c>
      <c r="C306" s="179" t="s">
        <v>68</v>
      </c>
      <c r="D306" s="179" t="s">
        <v>69</v>
      </c>
      <c r="E306" s="179" t="s">
        <v>70</v>
      </c>
      <c r="F306" s="180" t="s">
        <v>71</v>
      </c>
      <c r="G306" s="180" t="s">
        <v>72</v>
      </c>
      <c r="H306" s="179" t="s">
        <v>73</v>
      </c>
    </row>
    <row r="307">
      <c r="A307" s="182" t="s">
        <v>163</v>
      </c>
      <c r="B307" s="183" t="s">
        <v>164</v>
      </c>
      <c r="C307" s="183">
        <v>270.0</v>
      </c>
      <c r="D307" s="183">
        <v>1.0</v>
      </c>
      <c r="E307" s="183">
        <v>3.0</v>
      </c>
      <c r="F307" s="184">
        <v>400.0</v>
      </c>
      <c r="G307" s="185">
        <f t="shared" ref="G307:G310" si="28">SUM(D307*E307*F307)</f>
        <v>1200</v>
      </c>
      <c r="H307" s="187" t="s">
        <v>206</v>
      </c>
    </row>
    <row r="308">
      <c r="A308" s="182" t="s">
        <v>140</v>
      </c>
      <c r="B308" s="183" t="s">
        <v>67</v>
      </c>
      <c r="C308" s="183">
        <v>270.0</v>
      </c>
      <c r="D308" s="183">
        <v>400.0</v>
      </c>
      <c r="E308" s="183">
        <v>1.0</v>
      </c>
      <c r="F308" s="185">
        <v>20.0</v>
      </c>
      <c r="G308" s="185">
        <f t="shared" si="28"/>
        <v>8000</v>
      </c>
      <c r="H308" s="187" t="s">
        <v>207</v>
      </c>
    </row>
    <row r="309">
      <c r="A309" s="182" t="s">
        <v>170</v>
      </c>
      <c r="B309" s="183" t="s">
        <v>164</v>
      </c>
      <c r="C309" s="183">
        <v>270.0</v>
      </c>
      <c r="D309" s="183">
        <v>2.0</v>
      </c>
      <c r="E309" s="183">
        <v>3.0</v>
      </c>
      <c r="F309" s="184">
        <v>500.0</v>
      </c>
      <c r="G309" s="185">
        <f t="shared" si="28"/>
        <v>3000</v>
      </c>
      <c r="H309" s="186" t="s">
        <v>142</v>
      </c>
    </row>
    <row r="310">
      <c r="A310" s="182" t="s">
        <v>143</v>
      </c>
      <c r="B310" s="183" t="s">
        <v>161</v>
      </c>
      <c r="C310" s="183">
        <v>270.0</v>
      </c>
      <c r="D310" s="183">
        <v>2.0</v>
      </c>
      <c r="E310" s="183">
        <v>3.0</v>
      </c>
      <c r="F310" s="204">
        <v>1000.0</v>
      </c>
      <c r="G310" s="185">
        <f t="shared" si="28"/>
        <v>6000</v>
      </c>
      <c r="H310" s="187" t="s">
        <v>144</v>
      </c>
    </row>
    <row r="311">
      <c r="A311" s="215" t="s">
        <v>93</v>
      </c>
      <c r="B311" s="12"/>
      <c r="C311" s="12"/>
      <c r="D311" s="12"/>
      <c r="E311" s="12"/>
      <c r="F311" s="12"/>
      <c r="G311" s="13"/>
      <c r="H311" s="192">
        <f>SUM(G307:G310)</f>
        <v>18200</v>
      </c>
    </row>
    <row r="312">
      <c r="A312" s="193"/>
      <c r="B312" s="194"/>
      <c r="C312" s="194"/>
      <c r="D312" s="194"/>
      <c r="E312" s="194"/>
      <c r="F312" s="195"/>
      <c r="G312" s="195"/>
      <c r="H312" s="196"/>
    </row>
    <row r="313">
      <c r="A313" s="197" t="s">
        <v>200</v>
      </c>
      <c r="B313" s="198"/>
      <c r="C313" s="198"/>
      <c r="D313" s="198"/>
      <c r="E313" s="198"/>
      <c r="F313" s="199"/>
      <c r="G313" s="199"/>
      <c r="H313" s="198"/>
    </row>
    <row r="314">
      <c r="A314" s="201" t="s">
        <v>65</v>
      </c>
      <c r="B314" s="202"/>
      <c r="C314" s="202"/>
      <c r="D314" s="202"/>
      <c r="E314" s="202"/>
      <c r="F314" s="203"/>
      <c r="G314" s="203"/>
      <c r="H314" s="202"/>
    </row>
    <row r="315">
      <c r="A315" s="177" t="s">
        <v>66</v>
      </c>
      <c r="B315" s="178" t="s">
        <v>67</v>
      </c>
      <c r="C315" s="179" t="s">
        <v>68</v>
      </c>
      <c r="D315" s="179" t="s">
        <v>69</v>
      </c>
      <c r="E315" s="179" t="s">
        <v>70</v>
      </c>
      <c r="F315" s="180" t="s">
        <v>71</v>
      </c>
      <c r="G315" s="180" t="s">
        <v>72</v>
      </c>
      <c r="H315" s="179" t="s">
        <v>73</v>
      </c>
    </row>
    <row r="316">
      <c r="A316" s="182" t="s">
        <v>163</v>
      </c>
      <c r="B316" s="183" t="s">
        <v>164</v>
      </c>
      <c r="C316" s="183">
        <v>270.0</v>
      </c>
      <c r="D316" s="183">
        <v>1.0</v>
      </c>
      <c r="E316" s="183">
        <v>3.0</v>
      </c>
      <c r="F316" s="184">
        <v>400.0</v>
      </c>
      <c r="G316" s="185">
        <f t="shared" ref="G316:G319" si="29">SUM(D316*E316*F316)</f>
        <v>1200</v>
      </c>
      <c r="H316" s="187" t="s">
        <v>206</v>
      </c>
    </row>
    <row r="317">
      <c r="A317" s="182" t="s">
        <v>140</v>
      </c>
      <c r="B317" s="183" t="s">
        <v>67</v>
      </c>
      <c r="C317" s="183">
        <v>270.0</v>
      </c>
      <c r="D317" s="183">
        <v>400.0</v>
      </c>
      <c r="E317" s="183">
        <v>1.0</v>
      </c>
      <c r="F317" s="185">
        <v>20.0</v>
      </c>
      <c r="G317" s="185">
        <f t="shared" si="29"/>
        <v>8000</v>
      </c>
      <c r="H317" s="187" t="s">
        <v>207</v>
      </c>
    </row>
    <row r="318">
      <c r="A318" s="182" t="s">
        <v>170</v>
      </c>
      <c r="B318" s="183" t="s">
        <v>164</v>
      </c>
      <c r="C318" s="183">
        <v>270.0</v>
      </c>
      <c r="D318" s="183">
        <v>2.0</v>
      </c>
      <c r="E318" s="183">
        <v>3.0</v>
      </c>
      <c r="F318" s="184">
        <v>500.0</v>
      </c>
      <c r="G318" s="185">
        <f t="shared" si="29"/>
        <v>3000</v>
      </c>
      <c r="H318" s="186" t="s">
        <v>142</v>
      </c>
    </row>
    <row r="319">
      <c r="A319" s="182" t="s">
        <v>143</v>
      </c>
      <c r="B319" s="183" t="s">
        <v>161</v>
      </c>
      <c r="C319" s="183">
        <v>270.0</v>
      </c>
      <c r="D319" s="183">
        <v>2.0</v>
      </c>
      <c r="E319" s="183">
        <v>3.0</v>
      </c>
      <c r="F319" s="204">
        <v>1000.0</v>
      </c>
      <c r="G319" s="185">
        <f t="shared" si="29"/>
        <v>6000</v>
      </c>
      <c r="H319" s="187" t="s">
        <v>144</v>
      </c>
    </row>
    <row r="320">
      <c r="A320" s="215" t="s">
        <v>93</v>
      </c>
      <c r="B320" s="12"/>
      <c r="C320" s="12"/>
      <c r="D320" s="12"/>
      <c r="E320" s="12"/>
      <c r="F320" s="12"/>
      <c r="G320" s="13"/>
      <c r="H320" s="192">
        <f>SUM(G316:G319)</f>
        <v>18200</v>
      </c>
    </row>
    <row r="321">
      <c r="A321" s="193"/>
      <c r="B321" s="194"/>
      <c r="C321" s="194"/>
      <c r="D321" s="194"/>
      <c r="E321" s="194"/>
      <c r="F321" s="195"/>
      <c r="G321" s="195"/>
      <c r="H321" s="196"/>
    </row>
    <row r="322">
      <c r="A322" s="197" t="s">
        <v>201</v>
      </c>
      <c r="B322" s="198"/>
      <c r="C322" s="198"/>
      <c r="D322" s="198"/>
      <c r="E322" s="198"/>
      <c r="F322" s="199"/>
      <c r="G322" s="199"/>
      <c r="H322" s="198"/>
    </row>
    <row r="323">
      <c r="A323" s="201" t="s">
        <v>65</v>
      </c>
      <c r="B323" s="202"/>
      <c r="C323" s="202"/>
      <c r="D323" s="202"/>
      <c r="E323" s="202"/>
      <c r="F323" s="203"/>
      <c r="G323" s="203"/>
      <c r="H323" s="202"/>
    </row>
    <row r="324">
      <c r="A324" s="177" t="s">
        <v>66</v>
      </c>
      <c r="B324" s="178" t="s">
        <v>67</v>
      </c>
      <c r="C324" s="179" t="s">
        <v>68</v>
      </c>
      <c r="D324" s="179" t="s">
        <v>69</v>
      </c>
      <c r="E324" s="179" t="s">
        <v>70</v>
      </c>
      <c r="F324" s="180" t="s">
        <v>71</v>
      </c>
      <c r="G324" s="180" t="s">
        <v>72</v>
      </c>
      <c r="H324" s="179" t="s">
        <v>73</v>
      </c>
    </row>
    <row r="325">
      <c r="A325" s="182" t="s">
        <v>163</v>
      </c>
      <c r="B325" s="183" t="s">
        <v>164</v>
      </c>
      <c r="C325" s="183">
        <v>270.0</v>
      </c>
      <c r="D325" s="183">
        <v>1.0</v>
      </c>
      <c r="E325" s="183">
        <v>3.0</v>
      </c>
      <c r="F325" s="184">
        <v>400.0</v>
      </c>
      <c r="G325" s="185">
        <f t="shared" ref="G325:G328" si="30">SUM(D325*E325*F325)</f>
        <v>1200</v>
      </c>
      <c r="H325" s="187" t="s">
        <v>206</v>
      </c>
    </row>
    <row r="326">
      <c r="A326" s="182" t="s">
        <v>140</v>
      </c>
      <c r="B326" s="183" t="s">
        <v>67</v>
      </c>
      <c r="C326" s="183">
        <v>270.0</v>
      </c>
      <c r="D326" s="183">
        <v>400.0</v>
      </c>
      <c r="E326" s="183">
        <v>1.0</v>
      </c>
      <c r="F326" s="185">
        <v>20.0</v>
      </c>
      <c r="G326" s="185">
        <f t="shared" si="30"/>
        <v>8000</v>
      </c>
      <c r="H326" s="187" t="s">
        <v>207</v>
      </c>
    </row>
    <row r="327">
      <c r="A327" s="182" t="s">
        <v>170</v>
      </c>
      <c r="B327" s="183" t="s">
        <v>164</v>
      </c>
      <c r="C327" s="183">
        <v>270.0</v>
      </c>
      <c r="D327" s="183">
        <v>2.0</v>
      </c>
      <c r="E327" s="183">
        <v>3.0</v>
      </c>
      <c r="F327" s="184">
        <v>500.0</v>
      </c>
      <c r="G327" s="185">
        <f t="shared" si="30"/>
        <v>3000</v>
      </c>
      <c r="H327" s="186" t="s">
        <v>142</v>
      </c>
    </row>
    <row r="328">
      <c r="A328" s="182" t="s">
        <v>143</v>
      </c>
      <c r="B328" s="183" t="s">
        <v>161</v>
      </c>
      <c r="C328" s="183">
        <v>270.0</v>
      </c>
      <c r="D328" s="183">
        <v>2.0</v>
      </c>
      <c r="E328" s="183">
        <v>3.0</v>
      </c>
      <c r="F328" s="204">
        <v>1000.0</v>
      </c>
      <c r="G328" s="185">
        <f t="shared" si="30"/>
        <v>6000</v>
      </c>
      <c r="H328" s="187" t="s">
        <v>144</v>
      </c>
    </row>
    <row r="329">
      <c r="A329" s="215" t="s">
        <v>93</v>
      </c>
      <c r="B329" s="12"/>
      <c r="C329" s="12"/>
      <c r="D329" s="12"/>
      <c r="E329" s="12"/>
      <c r="F329" s="12"/>
      <c r="G329" s="13"/>
      <c r="H329" s="192">
        <f>SUM(G325:G328)</f>
        <v>18200</v>
      </c>
    </row>
    <row r="330">
      <c r="A330" s="193"/>
      <c r="B330" s="194"/>
      <c r="C330" s="194"/>
      <c r="D330" s="194"/>
      <c r="E330" s="194"/>
      <c r="F330" s="195"/>
      <c r="G330" s="195"/>
      <c r="H330" s="196"/>
    </row>
    <row r="331">
      <c r="A331" s="197" t="s">
        <v>202</v>
      </c>
      <c r="B331" s="198"/>
      <c r="C331" s="198"/>
      <c r="D331" s="198"/>
      <c r="E331" s="198"/>
      <c r="F331" s="199"/>
      <c r="G331" s="199"/>
      <c r="H331" s="198"/>
    </row>
    <row r="332">
      <c r="A332" s="201" t="s">
        <v>65</v>
      </c>
      <c r="B332" s="202"/>
      <c r="C332" s="202"/>
      <c r="D332" s="202"/>
      <c r="E332" s="202"/>
      <c r="F332" s="203"/>
      <c r="G332" s="203"/>
      <c r="H332" s="202"/>
    </row>
    <row r="333">
      <c r="A333" s="177" t="s">
        <v>66</v>
      </c>
      <c r="B333" s="178" t="s">
        <v>67</v>
      </c>
      <c r="C333" s="179" t="s">
        <v>68</v>
      </c>
      <c r="D333" s="179" t="s">
        <v>69</v>
      </c>
      <c r="E333" s="179" t="s">
        <v>70</v>
      </c>
      <c r="F333" s="180" t="s">
        <v>71</v>
      </c>
      <c r="G333" s="180" t="s">
        <v>72</v>
      </c>
      <c r="H333" s="179" t="s">
        <v>73</v>
      </c>
    </row>
    <row r="334">
      <c r="A334" s="182" t="s">
        <v>163</v>
      </c>
      <c r="B334" s="183" t="s">
        <v>164</v>
      </c>
      <c r="C334" s="183">
        <v>270.0</v>
      </c>
      <c r="D334" s="183">
        <v>1.0</v>
      </c>
      <c r="E334" s="183">
        <v>3.0</v>
      </c>
      <c r="F334" s="184">
        <v>400.0</v>
      </c>
      <c r="G334" s="185">
        <f t="shared" ref="G334:G337" si="31">SUM(D334*E334*F334)</f>
        <v>1200</v>
      </c>
      <c r="H334" s="187" t="s">
        <v>206</v>
      </c>
    </row>
    <row r="335">
      <c r="A335" s="182" t="s">
        <v>140</v>
      </c>
      <c r="B335" s="183" t="s">
        <v>67</v>
      </c>
      <c r="C335" s="183">
        <v>270.0</v>
      </c>
      <c r="D335" s="183">
        <v>400.0</v>
      </c>
      <c r="E335" s="183">
        <v>1.0</v>
      </c>
      <c r="F335" s="185">
        <v>20.0</v>
      </c>
      <c r="G335" s="185">
        <f t="shared" si="31"/>
        <v>8000</v>
      </c>
      <c r="H335" s="187" t="s">
        <v>207</v>
      </c>
    </row>
    <row r="336">
      <c r="A336" s="182" t="s">
        <v>170</v>
      </c>
      <c r="B336" s="183" t="s">
        <v>164</v>
      </c>
      <c r="C336" s="183">
        <v>270.0</v>
      </c>
      <c r="D336" s="183">
        <v>2.0</v>
      </c>
      <c r="E336" s="183">
        <v>3.0</v>
      </c>
      <c r="F336" s="184">
        <v>500.0</v>
      </c>
      <c r="G336" s="185">
        <f t="shared" si="31"/>
        <v>3000</v>
      </c>
      <c r="H336" s="186" t="s">
        <v>142</v>
      </c>
    </row>
    <row r="337">
      <c r="A337" s="182" t="s">
        <v>143</v>
      </c>
      <c r="B337" s="183" t="s">
        <v>161</v>
      </c>
      <c r="C337" s="183">
        <v>270.0</v>
      </c>
      <c r="D337" s="183">
        <v>2.0</v>
      </c>
      <c r="E337" s="183">
        <v>3.0</v>
      </c>
      <c r="F337" s="204">
        <v>1000.0</v>
      </c>
      <c r="G337" s="185">
        <f t="shared" si="31"/>
        <v>6000</v>
      </c>
      <c r="H337" s="187" t="s">
        <v>144</v>
      </c>
    </row>
    <row r="338">
      <c r="A338" s="215" t="s">
        <v>93</v>
      </c>
      <c r="B338" s="12"/>
      <c r="C338" s="12"/>
      <c r="D338" s="12"/>
      <c r="E338" s="12"/>
      <c r="F338" s="12"/>
      <c r="G338" s="13"/>
      <c r="H338" s="192">
        <f>SUM(G334:G337)</f>
        <v>18200</v>
      </c>
    </row>
    <row r="339">
      <c r="A339" s="193"/>
      <c r="B339" s="194"/>
      <c r="C339" s="194"/>
      <c r="D339" s="194"/>
      <c r="E339" s="194"/>
      <c r="F339" s="195"/>
      <c r="G339" s="195"/>
      <c r="H339" s="196"/>
    </row>
    <row r="340">
      <c r="A340" s="197" t="s">
        <v>168</v>
      </c>
      <c r="B340" s="198"/>
      <c r="C340" s="198"/>
      <c r="D340" s="198"/>
      <c r="E340" s="198"/>
      <c r="F340" s="199"/>
      <c r="G340" s="199"/>
      <c r="H340" s="198"/>
    </row>
    <row r="341">
      <c r="A341" s="201" t="s">
        <v>65</v>
      </c>
      <c r="B341" s="202"/>
      <c r="C341" s="202"/>
      <c r="D341" s="202"/>
      <c r="E341" s="202"/>
      <c r="F341" s="203"/>
      <c r="G341" s="203"/>
      <c r="H341" s="202"/>
    </row>
    <row r="342">
      <c r="A342" s="177" t="s">
        <v>66</v>
      </c>
      <c r="B342" s="178" t="s">
        <v>67</v>
      </c>
      <c r="C342" s="179" t="s">
        <v>68</v>
      </c>
      <c r="D342" s="179" t="s">
        <v>69</v>
      </c>
      <c r="E342" s="179" t="s">
        <v>70</v>
      </c>
      <c r="F342" s="180" t="s">
        <v>71</v>
      </c>
      <c r="G342" s="180" t="s">
        <v>72</v>
      </c>
      <c r="H342" s="179" t="s">
        <v>73</v>
      </c>
    </row>
    <row r="343">
      <c r="A343" s="182" t="s">
        <v>163</v>
      </c>
      <c r="B343" s="183" t="s">
        <v>164</v>
      </c>
      <c r="C343" s="183">
        <v>270.0</v>
      </c>
      <c r="D343" s="183">
        <v>1.0</v>
      </c>
      <c r="E343" s="183">
        <v>3.0</v>
      </c>
      <c r="F343" s="184">
        <v>400.0</v>
      </c>
      <c r="G343" s="185">
        <f t="shared" ref="G343:G346" si="32">SUM(D343*E343*F343)</f>
        <v>1200</v>
      </c>
      <c r="H343" s="187" t="s">
        <v>206</v>
      </c>
    </row>
    <row r="344">
      <c r="A344" s="182" t="s">
        <v>140</v>
      </c>
      <c r="B344" s="183" t="s">
        <v>67</v>
      </c>
      <c r="C344" s="183">
        <v>270.0</v>
      </c>
      <c r="D344" s="183">
        <v>400.0</v>
      </c>
      <c r="E344" s="183">
        <v>1.0</v>
      </c>
      <c r="F344" s="185">
        <v>20.0</v>
      </c>
      <c r="G344" s="185">
        <f t="shared" si="32"/>
        <v>8000</v>
      </c>
      <c r="H344" s="187" t="s">
        <v>207</v>
      </c>
    </row>
    <row r="345">
      <c r="A345" s="182" t="s">
        <v>170</v>
      </c>
      <c r="B345" s="183" t="s">
        <v>164</v>
      </c>
      <c r="C345" s="183">
        <v>270.0</v>
      </c>
      <c r="D345" s="183">
        <v>2.0</v>
      </c>
      <c r="E345" s="183">
        <v>3.0</v>
      </c>
      <c r="F345" s="184">
        <v>500.0</v>
      </c>
      <c r="G345" s="185">
        <f t="shared" si="32"/>
        <v>3000</v>
      </c>
      <c r="H345" s="186" t="s">
        <v>142</v>
      </c>
    </row>
    <row r="346">
      <c r="A346" s="182" t="s">
        <v>143</v>
      </c>
      <c r="B346" s="183" t="s">
        <v>161</v>
      </c>
      <c r="C346" s="183">
        <v>270.0</v>
      </c>
      <c r="D346" s="183">
        <v>2.0</v>
      </c>
      <c r="E346" s="183">
        <v>3.0</v>
      </c>
      <c r="F346" s="204">
        <v>1000.0</v>
      </c>
      <c r="G346" s="185">
        <f t="shared" si="32"/>
        <v>6000</v>
      </c>
      <c r="H346" s="187" t="s">
        <v>144</v>
      </c>
    </row>
    <row r="347">
      <c r="A347" s="215" t="s">
        <v>93</v>
      </c>
      <c r="B347" s="12"/>
      <c r="C347" s="12"/>
      <c r="D347" s="12"/>
      <c r="E347" s="12"/>
      <c r="F347" s="12"/>
      <c r="G347" s="13"/>
      <c r="H347" s="192">
        <f>SUM(G343:G346)</f>
        <v>18200</v>
      </c>
    </row>
    <row r="348">
      <c r="A348" s="193"/>
      <c r="B348" s="194"/>
      <c r="C348" s="194"/>
      <c r="D348" s="194"/>
      <c r="E348" s="194"/>
      <c r="F348" s="195"/>
      <c r="G348" s="195"/>
      <c r="H348" s="196"/>
    </row>
    <row r="349">
      <c r="A349" s="197" t="s">
        <v>173</v>
      </c>
      <c r="B349" s="198"/>
      <c r="C349" s="198"/>
      <c r="D349" s="198"/>
      <c r="E349" s="198"/>
      <c r="F349" s="199"/>
      <c r="G349" s="199"/>
      <c r="H349" s="198"/>
    </row>
    <row r="350">
      <c r="A350" s="201" t="s">
        <v>65</v>
      </c>
      <c r="B350" s="202"/>
      <c r="C350" s="202"/>
      <c r="D350" s="202"/>
      <c r="E350" s="202"/>
      <c r="F350" s="203"/>
      <c r="G350" s="203"/>
      <c r="H350" s="202"/>
    </row>
    <row r="351">
      <c r="A351" s="177" t="s">
        <v>66</v>
      </c>
      <c r="B351" s="178" t="s">
        <v>67</v>
      </c>
      <c r="C351" s="179" t="s">
        <v>68</v>
      </c>
      <c r="D351" s="179" t="s">
        <v>69</v>
      </c>
      <c r="E351" s="179" t="s">
        <v>70</v>
      </c>
      <c r="F351" s="180" t="s">
        <v>71</v>
      </c>
      <c r="G351" s="180" t="s">
        <v>72</v>
      </c>
      <c r="H351" s="179" t="s">
        <v>73</v>
      </c>
    </row>
    <row r="352">
      <c r="A352" s="182" t="s">
        <v>163</v>
      </c>
      <c r="B352" s="183" t="s">
        <v>164</v>
      </c>
      <c r="C352" s="183">
        <v>270.0</v>
      </c>
      <c r="D352" s="183">
        <v>1.0</v>
      </c>
      <c r="E352" s="183">
        <v>3.0</v>
      </c>
      <c r="F352" s="184">
        <v>400.0</v>
      </c>
      <c r="G352" s="185">
        <f t="shared" ref="G352:G355" si="33">SUM(D352*E352*F352)</f>
        <v>1200</v>
      </c>
      <c r="H352" s="187" t="s">
        <v>206</v>
      </c>
    </row>
    <row r="353">
      <c r="A353" s="182" t="s">
        <v>140</v>
      </c>
      <c r="B353" s="183" t="s">
        <v>67</v>
      </c>
      <c r="C353" s="183">
        <v>270.0</v>
      </c>
      <c r="D353" s="183">
        <v>400.0</v>
      </c>
      <c r="E353" s="183">
        <v>1.0</v>
      </c>
      <c r="F353" s="185">
        <v>20.0</v>
      </c>
      <c r="G353" s="185">
        <f t="shared" si="33"/>
        <v>8000</v>
      </c>
      <c r="H353" s="187" t="s">
        <v>207</v>
      </c>
    </row>
    <row r="354">
      <c r="A354" s="182" t="s">
        <v>170</v>
      </c>
      <c r="B354" s="183" t="s">
        <v>164</v>
      </c>
      <c r="C354" s="183">
        <v>270.0</v>
      </c>
      <c r="D354" s="183">
        <v>2.0</v>
      </c>
      <c r="E354" s="183">
        <v>3.0</v>
      </c>
      <c r="F354" s="184">
        <v>500.0</v>
      </c>
      <c r="G354" s="185">
        <f t="shared" si="33"/>
        <v>3000</v>
      </c>
      <c r="H354" s="186" t="s">
        <v>142</v>
      </c>
    </row>
    <row r="355">
      <c r="A355" s="182" t="s">
        <v>143</v>
      </c>
      <c r="B355" s="183" t="s">
        <v>161</v>
      </c>
      <c r="C355" s="183">
        <v>270.0</v>
      </c>
      <c r="D355" s="183">
        <v>2.0</v>
      </c>
      <c r="E355" s="183">
        <v>3.0</v>
      </c>
      <c r="F355" s="204">
        <v>1000.0</v>
      </c>
      <c r="G355" s="185">
        <f t="shared" si="33"/>
        <v>6000</v>
      </c>
      <c r="H355" s="187" t="s">
        <v>144</v>
      </c>
    </row>
    <row r="356">
      <c r="A356" s="215" t="s">
        <v>93</v>
      </c>
      <c r="B356" s="12"/>
      <c r="C356" s="12"/>
      <c r="D356" s="12"/>
      <c r="E356" s="12"/>
      <c r="F356" s="12"/>
      <c r="G356" s="13"/>
      <c r="H356" s="192">
        <f>SUM(G352:G355)</f>
        <v>18200</v>
      </c>
    </row>
    <row r="357">
      <c r="A357" s="193"/>
      <c r="B357" s="194"/>
      <c r="C357" s="194"/>
      <c r="D357" s="194"/>
      <c r="E357" s="194"/>
      <c r="F357" s="195"/>
      <c r="G357" s="195"/>
      <c r="H357" s="196"/>
    </row>
    <row r="358">
      <c r="A358" s="197" t="s">
        <v>174</v>
      </c>
      <c r="B358" s="198"/>
      <c r="C358" s="198"/>
      <c r="D358" s="198"/>
      <c r="E358" s="198"/>
      <c r="F358" s="199"/>
      <c r="G358" s="199"/>
      <c r="H358" s="198"/>
    </row>
    <row r="359">
      <c r="A359" s="201" t="s">
        <v>65</v>
      </c>
      <c r="B359" s="202"/>
      <c r="C359" s="202"/>
      <c r="D359" s="202"/>
      <c r="E359" s="202"/>
      <c r="F359" s="203"/>
      <c r="G359" s="203"/>
      <c r="H359" s="202"/>
    </row>
    <row r="360">
      <c r="A360" s="177" t="s">
        <v>66</v>
      </c>
      <c r="B360" s="178" t="s">
        <v>67</v>
      </c>
      <c r="C360" s="179" t="s">
        <v>68</v>
      </c>
      <c r="D360" s="179" t="s">
        <v>69</v>
      </c>
      <c r="E360" s="179" t="s">
        <v>70</v>
      </c>
      <c r="F360" s="180" t="s">
        <v>71</v>
      </c>
      <c r="G360" s="180" t="s">
        <v>72</v>
      </c>
      <c r="H360" s="179" t="s">
        <v>73</v>
      </c>
    </row>
    <row r="361">
      <c r="A361" s="182" t="s">
        <v>163</v>
      </c>
      <c r="B361" s="183" t="s">
        <v>164</v>
      </c>
      <c r="C361" s="183">
        <v>270.0</v>
      </c>
      <c r="D361" s="183">
        <v>1.0</v>
      </c>
      <c r="E361" s="183">
        <v>3.0</v>
      </c>
      <c r="F361" s="184">
        <v>400.0</v>
      </c>
      <c r="G361" s="185">
        <f t="shared" ref="G361:G364" si="34">SUM(D361*E361*F361)</f>
        <v>1200</v>
      </c>
      <c r="H361" s="187" t="s">
        <v>206</v>
      </c>
    </row>
    <row r="362">
      <c r="A362" s="182" t="s">
        <v>140</v>
      </c>
      <c r="B362" s="183" t="s">
        <v>67</v>
      </c>
      <c r="C362" s="183">
        <v>270.0</v>
      </c>
      <c r="D362" s="183">
        <v>400.0</v>
      </c>
      <c r="E362" s="183">
        <v>1.0</v>
      </c>
      <c r="F362" s="185">
        <v>20.0</v>
      </c>
      <c r="G362" s="185">
        <f t="shared" si="34"/>
        <v>8000</v>
      </c>
      <c r="H362" s="187" t="s">
        <v>207</v>
      </c>
    </row>
    <row r="363">
      <c r="A363" s="182" t="s">
        <v>170</v>
      </c>
      <c r="B363" s="183" t="s">
        <v>164</v>
      </c>
      <c r="C363" s="183">
        <v>270.0</v>
      </c>
      <c r="D363" s="183">
        <v>2.0</v>
      </c>
      <c r="E363" s="183">
        <v>3.0</v>
      </c>
      <c r="F363" s="184">
        <v>500.0</v>
      </c>
      <c r="G363" s="185">
        <f t="shared" si="34"/>
        <v>3000</v>
      </c>
      <c r="H363" s="186" t="s">
        <v>142</v>
      </c>
    </row>
    <row r="364">
      <c r="A364" s="182" t="s">
        <v>143</v>
      </c>
      <c r="B364" s="183" t="s">
        <v>161</v>
      </c>
      <c r="C364" s="183">
        <v>270.0</v>
      </c>
      <c r="D364" s="183">
        <v>2.0</v>
      </c>
      <c r="E364" s="183">
        <v>3.0</v>
      </c>
      <c r="F364" s="204">
        <v>1000.0</v>
      </c>
      <c r="G364" s="185">
        <f t="shared" si="34"/>
        <v>6000</v>
      </c>
      <c r="H364" s="187" t="s">
        <v>144</v>
      </c>
    </row>
    <row r="365">
      <c r="A365" s="215" t="s">
        <v>93</v>
      </c>
      <c r="B365" s="12"/>
      <c r="C365" s="12"/>
      <c r="D365" s="12"/>
      <c r="E365" s="12"/>
      <c r="F365" s="12"/>
      <c r="G365" s="13"/>
      <c r="H365" s="192">
        <f>SUM(G361:G364)</f>
        <v>18200</v>
      </c>
    </row>
    <row r="366">
      <c r="A366" s="193"/>
      <c r="B366" s="194"/>
      <c r="C366" s="194"/>
      <c r="D366" s="194"/>
      <c r="E366" s="194"/>
      <c r="F366" s="195"/>
      <c r="G366" s="195"/>
      <c r="H366" s="196"/>
    </row>
    <row r="367">
      <c r="A367" s="211" t="s">
        <v>209</v>
      </c>
      <c r="B367" s="12"/>
      <c r="C367" s="12"/>
      <c r="D367" s="12"/>
      <c r="E367" s="12"/>
      <c r="F367" s="12"/>
      <c r="G367" s="12"/>
      <c r="H367" s="13"/>
    </row>
    <row r="368">
      <c r="A368" s="197" t="s">
        <v>175</v>
      </c>
      <c r="B368" s="198"/>
      <c r="C368" s="198"/>
      <c r="D368" s="198"/>
      <c r="E368" s="198"/>
      <c r="F368" s="199"/>
      <c r="G368" s="199"/>
      <c r="H368" s="198"/>
    </row>
    <row r="369">
      <c r="A369" s="201" t="s">
        <v>65</v>
      </c>
      <c r="B369" s="202"/>
      <c r="C369" s="202"/>
      <c r="D369" s="202"/>
      <c r="E369" s="202"/>
      <c r="F369" s="203"/>
      <c r="G369" s="203"/>
      <c r="H369" s="202"/>
    </row>
    <row r="370">
      <c r="A370" s="177" t="s">
        <v>66</v>
      </c>
      <c r="B370" s="178" t="s">
        <v>67</v>
      </c>
      <c r="C370" s="179" t="s">
        <v>68</v>
      </c>
      <c r="D370" s="179" t="s">
        <v>69</v>
      </c>
      <c r="E370" s="179" t="s">
        <v>70</v>
      </c>
      <c r="F370" s="180" t="s">
        <v>71</v>
      </c>
      <c r="G370" s="180" t="s">
        <v>72</v>
      </c>
      <c r="H370" s="179" t="s">
        <v>73</v>
      </c>
    </row>
    <row r="371">
      <c r="A371" s="182" t="s">
        <v>210</v>
      </c>
      <c r="B371" s="183" t="s">
        <v>164</v>
      </c>
      <c r="C371" s="183">
        <v>270.0</v>
      </c>
      <c r="D371" s="183">
        <v>1.0</v>
      </c>
      <c r="E371" s="183">
        <v>2.0</v>
      </c>
      <c r="F371" s="185">
        <v>1000.0</v>
      </c>
      <c r="G371" s="185">
        <f t="shared" ref="G371:G374" si="35">SUM(D371*E371*F371)</f>
        <v>2000</v>
      </c>
      <c r="H371" s="187" t="s">
        <v>211</v>
      </c>
    </row>
    <row r="372">
      <c r="A372" s="216" t="s">
        <v>212</v>
      </c>
      <c r="B372" s="217" t="s">
        <v>67</v>
      </c>
      <c r="C372" s="217">
        <v>270.0</v>
      </c>
      <c r="D372" s="217">
        <v>1.0</v>
      </c>
      <c r="E372" s="217">
        <v>2.0</v>
      </c>
      <c r="F372" s="218">
        <v>1000.0</v>
      </c>
      <c r="G372" s="218">
        <f t="shared" si="35"/>
        <v>2000</v>
      </c>
      <c r="H372" s="219" t="s">
        <v>213</v>
      </c>
    </row>
    <row r="373">
      <c r="A373" s="182" t="s">
        <v>84</v>
      </c>
      <c r="B373" s="183" t="s">
        <v>164</v>
      </c>
      <c r="C373" s="183">
        <v>270.0</v>
      </c>
      <c r="D373" s="183">
        <v>1.0</v>
      </c>
      <c r="E373" s="183">
        <v>2.0</v>
      </c>
      <c r="F373" s="185">
        <v>400.0</v>
      </c>
      <c r="G373" s="185">
        <f t="shared" si="35"/>
        <v>800</v>
      </c>
      <c r="H373" s="187" t="s">
        <v>214</v>
      </c>
    </row>
    <row r="374">
      <c r="A374" s="182" t="s">
        <v>163</v>
      </c>
      <c r="B374" s="183" t="s">
        <v>164</v>
      </c>
      <c r="C374" s="183">
        <v>270.0</v>
      </c>
      <c r="D374" s="183">
        <v>1.0</v>
      </c>
      <c r="E374" s="183">
        <v>2.0</v>
      </c>
      <c r="F374" s="185">
        <v>400.0</v>
      </c>
      <c r="G374" s="185">
        <f t="shared" si="35"/>
        <v>800</v>
      </c>
      <c r="H374" s="187" t="s">
        <v>215</v>
      </c>
    </row>
    <row r="375">
      <c r="A375" s="191" t="s">
        <v>93</v>
      </c>
      <c r="B375" s="12"/>
      <c r="C375" s="12"/>
      <c r="D375" s="12"/>
      <c r="E375" s="12"/>
      <c r="F375" s="12"/>
      <c r="G375" s="13"/>
      <c r="H375" s="192">
        <f>SUM(G371:G374)</f>
        <v>5600</v>
      </c>
    </row>
    <row r="376">
      <c r="A376" s="182"/>
      <c r="B376" s="183"/>
      <c r="C376" s="183"/>
      <c r="D376" s="183"/>
      <c r="E376" s="183"/>
      <c r="F376" s="204"/>
      <c r="G376" s="185"/>
      <c r="H376" s="187"/>
    </row>
    <row r="377">
      <c r="A377" s="197" t="s">
        <v>208</v>
      </c>
      <c r="B377" s="198"/>
      <c r="C377" s="198"/>
      <c r="D377" s="198"/>
      <c r="E377" s="198"/>
      <c r="F377" s="199"/>
      <c r="G377" s="199"/>
      <c r="H377" s="198"/>
    </row>
    <row r="378">
      <c r="A378" s="201" t="s">
        <v>65</v>
      </c>
      <c r="B378" s="202"/>
      <c r="C378" s="202"/>
      <c r="D378" s="202"/>
      <c r="E378" s="202"/>
      <c r="F378" s="203"/>
      <c r="G378" s="203"/>
      <c r="H378" s="202"/>
    </row>
    <row r="379">
      <c r="A379" s="177" t="s">
        <v>66</v>
      </c>
      <c r="B379" s="178" t="s">
        <v>67</v>
      </c>
      <c r="C379" s="179" t="s">
        <v>68</v>
      </c>
      <c r="D379" s="179" t="s">
        <v>69</v>
      </c>
      <c r="E379" s="179" t="s">
        <v>70</v>
      </c>
      <c r="F379" s="180" t="s">
        <v>71</v>
      </c>
      <c r="G379" s="180" t="s">
        <v>72</v>
      </c>
      <c r="H379" s="179" t="s">
        <v>73</v>
      </c>
    </row>
    <row r="380">
      <c r="A380" s="182" t="s">
        <v>210</v>
      </c>
      <c r="B380" s="183" t="s">
        <v>164</v>
      </c>
      <c r="C380" s="183">
        <v>270.0</v>
      </c>
      <c r="D380" s="183">
        <v>1.0</v>
      </c>
      <c r="E380" s="183">
        <v>2.0</v>
      </c>
      <c r="F380" s="185">
        <v>1000.0</v>
      </c>
      <c r="G380" s="185">
        <f t="shared" ref="G380:G383" si="36">SUM(D380*E380*F380)</f>
        <v>2000</v>
      </c>
      <c r="H380" s="187" t="s">
        <v>211</v>
      </c>
    </row>
    <row r="381">
      <c r="A381" s="216" t="s">
        <v>212</v>
      </c>
      <c r="B381" s="217" t="s">
        <v>67</v>
      </c>
      <c r="C381" s="217">
        <v>270.0</v>
      </c>
      <c r="D381" s="217">
        <v>1.0</v>
      </c>
      <c r="E381" s="217">
        <v>2.0</v>
      </c>
      <c r="F381" s="218">
        <v>1000.0</v>
      </c>
      <c r="G381" s="218">
        <f t="shared" si="36"/>
        <v>2000</v>
      </c>
      <c r="H381" s="219" t="s">
        <v>213</v>
      </c>
    </row>
    <row r="382">
      <c r="A382" s="182" t="s">
        <v>84</v>
      </c>
      <c r="B382" s="183" t="s">
        <v>164</v>
      </c>
      <c r="C382" s="183">
        <v>270.0</v>
      </c>
      <c r="D382" s="183">
        <v>1.0</v>
      </c>
      <c r="E382" s="183">
        <v>2.0</v>
      </c>
      <c r="F382" s="185">
        <v>400.0</v>
      </c>
      <c r="G382" s="185">
        <f t="shared" si="36"/>
        <v>800</v>
      </c>
      <c r="H382" s="187" t="s">
        <v>214</v>
      </c>
    </row>
    <row r="383">
      <c r="A383" s="182" t="s">
        <v>163</v>
      </c>
      <c r="B383" s="183" t="s">
        <v>164</v>
      </c>
      <c r="C383" s="183">
        <v>270.0</v>
      </c>
      <c r="D383" s="183">
        <v>1.0</v>
      </c>
      <c r="E383" s="183">
        <v>2.0</v>
      </c>
      <c r="F383" s="185">
        <v>400.0</v>
      </c>
      <c r="G383" s="185">
        <f t="shared" si="36"/>
        <v>800</v>
      </c>
      <c r="H383" s="187" t="s">
        <v>215</v>
      </c>
    </row>
    <row r="384">
      <c r="A384" s="191" t="s">
        <v>93</v>
      </c>
      <c r="B384" s="12"/>
      <c r="C384" s="12"/>
      <c r="D384" s="12"/>
      <c r="E384" s="12"/>
      <c r="F384" s="12"/>
      <c r="G384" s="13"/>
      <c r="H384" s="192">
        <f>SUM(G380:G383)</f>
        <v>5600</v>
      </c>
    </row>
    <row r="385">
      <c r="A385" s="193"/>
      <c r="B385" s="194"/>
      <c r="C385" s="194"/>
      <c r="D385" s="194"/>
      <c r="E385" s="194"/>
      <c r="F385" s="194"/>
      <c r="G385" s="195"/>
      <c r="H385" s="196"/>
    </row>
    <row r="386">
      <c r="A386" s="197" t="s">
        <v>198</v>
      </c>
      <c r="B386" s="198"/>
      <c r="C386" s="198"/>
      <c r="D386" s="198"/>
      <c r="E386" s="198"/>
      <c r="F386" s="199"/>
      <c r="G386" s="199"/>
      <c r="H386" s="198"/>
    </row>
    <row r="387">
      <c r="A387" s="201" t="s">
        <v>65</v>
      </c>
      <c r="B387" s="202"/>
      <c r="C387" s="202"/>
      <c r="D387" s="202"/>
      <c r="E387" s="202"/>
      <c r="F387" s="203"/>
      <c r="G387" s="203"/>
      <c r="H387" s="202"/>
    </row>
    <row r="388">
      <c r="A388" s="177" t="s">
        <v>66</v>
      </c>
      <c r="B388" s="178" t="s">
        <v>67</v>
      </c>
      <c r="C388" s="179" t="s">
        <v>68</v>
      </c>
      <c r="D388" s="179" t="s">
        <v>69</v>
      </c>
      <c r="E388" s="179" t="s">
        <v>70</v>
      </c>
      <c r="F388" s="180" t="s">
        <v>71</v>
      </c>
      <c r="G388" s="180" t="s">
        <v>72</v>
      </c>
      <c r="H388" s="179" t="s">
        <v>73</v>
      </c>
    </row>
    <row r="389">
      <c r="A389" s="182" t="s">
        <v>210</v>
      </c>
      <c r="B389" s="183" t="s">
        <v>164</v>
      </c>
      <c r="C389" s="183">
        <v>270.0</v>
      </c>
      <c r="D389" s="183">
        <v>1.0</v>
      </c>
      <c r="E389" s="183">
        <v>2.0</v>
      </c>
      <c r="F389" s="185">
        <v>1000.0</v>
      </c>
      <c r="G389" s="185">
        <f t="shared" ref="G389:G392" si="37">SUM(D389*E389*F389)</f>
        <v>2000</v>
      </c>
      <c r="H389" s="187" t="s">
        <v>211</v>
      </c>
    </row>
    <row r="390">
      <c r="A390" s="216" t="s">
        <v>212</v>
      </c>
      <c r="B390" s="217" t="s">
        <v>67</v>
      </c>
      <c r="C390" s="217">
        <v>270.0</v>
      </c>
      <c r="D390" s="217">
        <v>1.0</v>
      </c>
      <c r="E390" s="217">
        <v>2.0</v>
      </c>
      <c r="F390" s="218">
        <v>1000.0</v>
      </c>
      <c r="G390" s="218">
        <f t="shared" si="37"/>
        <v>2000</v>
      </c>
      <c r="H390" s="219" t="s">
        <v>213</v>
      </c>
    </row>
    <row r="391">
      <c r="A391" s="182" t="s">
        <v>84</v>
      </c>
      <c r="B391" s="183" t="s">
        <v>164</v>
      </c>
      <c r="C391" s="183">
        <v>270.0</v>
      </c>
      <c r="D391" s="183">
        <v>1.0</v>
      </c>
      <c r="E391" s="183">
        <v>2.0</v>
      </c>
      <c r="F391" s="185">
        <v>400.0</v>
      </c>
      <c r="G391" s="185">
        <f t="shared" si="37"/>
        <v>800</v>
      </c>
      <c r="H391" s="187" t="s">
        <v>214</v>
      </c>
    </row>
    <row r="392">
      <c r="A392" s="182" t="s">
        <v>163</v>
      </c>
      <c r="B392" s="183" t="s">
        <v>164</v>
      </c>
      <c r="C392" s="183">
        <v>270.0</v>
      </c>
      <c r="D392" s="183">
        <v>1.0</v>
      </c>
      <c r="E392" s="183">
        <v>2.0</v>
      </c>
      <c r="F392" s="185">
        <v>400.0</v>
      </c>
      <c r="G392" s="185">
        <f t="shared" si="37"/>
        <v>800</v>
      </c>
      <c r="H392" s="187" t="s">
        <v>215</v>
      </c>
    </row>
    <row r="393">
      <c r="A393" s="191" t="s">
        <v>93</v>
      </c>
      <c r="B393" s="12"/>
      <c r="C393" s="12"/>
      <c r="D393" s="12"/>
      <c r="E393" s="12"/>
      <c r="F393" s="12"/>
      <c r="G393" s="13"/>
      <c r="H393" s="192">
        <f>SUM(G389:G392)</f>
        <v>5600</v>
      </c>
    </row>
    <row r="394">
      <c r="A394" s="220"/>
      <c r="B394" s="221"/>
      <c r="C394" s="221"/>
      <c r="D394" s="221"/>
      <c r="E394" s="221"/>
      <c r="F394" s="221"/>
      <c r="G394" s="222"/>
      <c r="H394" s="192"/>
    </row>
    <row r="395">
      <c r="A395" s="197" t="s">
        <v>199</v>
      </c>
      <c r="B395" s="198"/>
      <c r="C395" s="198"/>
      <c r="D395" s="198"/>
      <c r="E395" s="198"/>
      <c r="F395" s="199"/>
      <c r="G395" s="199"/>
      <c r="H395" s="198"/>
    </row>
    <row r="396">
      <c r="A396" s="201" t="s">
        <v>65</v>
      </c>
      <c r="B396" s="202"/>
      <c r="C396" s="202"/>
      <c r="D396" s="202"/>
      <c r="E396" s="202"/>
      <c r="F396" s="203"/>
      <c r="G396" s="203"/>
      <c r="H396" s="202"/>
    </row>
    <row r="397">
      <c r="A397" s="177" t="s">
        <v>66</v>
      </c>
      <c r="B397" s="178" t="s">
        <v>67</v>
      </c>
      <c r="C397" s="179" t="s">
        <v>68</v>
      </c>
      <c r="D397" s="179" t="s">
        <v>69</v>
      </c>
      <c r="E397" s="179" t="s">
        <v>70</v>
      </c>
      <c r="F397" s="180" t="s">
        <v>71</v>
      </c>
      <c r="G397" s="180" t="s">
        <v>72</v>
      </c>
      <c r="H397" s="179" t="s">
        <v>73</v>
      </c>
    </row>
    <row r="398">
      <c r="A398" s="182" t="s">
        <v>210</v>
      </c>
      <c r="B398" s="183" t="s">
        <v>164</v>
      </c>
      <c r="C398" s="183">
        <v>270.0</v>
      </c>
      <c r="D398" s="183">
        <v>1.0</v>
      </c>
      <c r="E398" s="183">
        <v>2.0</v>
      </c>
      <c r="F398" s="185">
        <v>1000.0</v>
      </c>
      <c r="G398" s="185">
        <f t="shared" ref="G398:G401" si="38">SUM(D398*E398*F398)</f>
        <v>2000</v>
      </c>
      <c r="H398" s="187" t="s">
        <v>211</v>
      </c>
    </row>
    <row r="399">
      <c r="A399" s="216" t="s">
        <v>212</v>
      </c>
      <c r="B399" s="217" t="s">
        <v>67</v>
      </c>
      <c r="C399" s="217">
        <v>270.0</v>
      </c>
      <c r="D399" s="217">
        <v>1.0</v>
      </c>
      <c r="E399" s="217">
        <v>2.0</v>
      </c>
      <c r="F399" s="218">
        <v>1000.0</v>
      </c>
      <c r="G399" s="218">
        <f t="shared" si="38"/>
        <v>2000</v>
      </c>
      <c r="H399" s="219" t="s">
        <v>213</v>
      </c>
    </row>
    <row r="400">
      <c r="A400" s="182" t="s">
        <v>84</v>
      </c>
      <c r="B400" s="183" t="s">
        <v>164</v>
      </c>
      <c r="C400" s="183">
        <v>270.0</v>
      </c>
      <c r="D400" s="183">
        <v>1.0</v>
      </c>
      <c r="E400" s="183">
        <v>2.0</v>
      </c>
      <c r="F400" s="185">
        <v>400.0</v>
      </c>
      <c r="G400" s="185">
        <f t="shared" si="38"/>
        <v>800</v>
      </c>
      <c r="H400" s="187" t="s">
        <v>214</v>
      </c>
    </row>
    <row r="401">
      <c r="A401" s="182" t="s">
        <v>163</v>
      </c>
      <c r="B401" s="183" t="s">
        <v>164</v>
      </c>
      <c r="C401" s="183">
        <v>270.0</v>
      </c>
      <c r="D401" s="183">
        <v>1.0</v>
      </c>
      <c r="E401" s="183">
        <v>2.0</v>
      </c>
      <c r="F401" s="185">
        <v>400.0</v>
      </c>
      <c r="G401" s="185">
        <f t="shared" si="38"/>
        <v>800</v>
      </c>
      <c r="H401" s="187" t="s">
        <v>215</v>
      </c>
    </row>
    <row r="402">
      <c r="A402" s="191" t="s">
        <v>93</v>
      </c>
      <c r="B402" s="12"/>
      <c r="C402" s="12"/>
      <c r="D402" s="12"/>
      <c r="E402" s="12"/>
      <c r="F402" s="12"/>
      <c r="G402" s="13"/>
      <c r="H402" s="192">
        <f>SUM(G398:G401)</f>
        <v>5600</v>
      </c>
    </row>
    <row r="403">
      <c r="A403" s="193"/>
      <c r="B403" s="194"/>
      <c r="C403" s="194"/>
      <c r="D403" s="194"/>
      <c r="E403" s="194"/>
      <c r="F403" s="194"/>
      <c r="G403" s="195"/>
      <c r="H403" s="196"/>
    </row>
    <row r="404">
      <c r="A404" s="197" t="s">
        <v>200</v>
      </c>
      <c r="B404" s="198"/>
      <c r="C404" s="198"/>
      <c r="D404" s="198"/>
      <c r="E404" s="198"/>
      <c r="F404" s="199"/>
      <c r="G404" s="199"/>
      <c r="H404" s="198"/>
    </row>
    <row r="405">
      <c r="A405" s="201" t="s">
        <v>65</v>
      </c>
      <c r="B405" s="202"/>
      <c r="C405" s="202"/>
      <c r="D405" s="202"/>
      <c r="E405" s="202"/>
      <c r="F405" s="203"/>
      <c r="G405" s="203"/>
      <c r="H405" s="202"/>
    </row>
    <row r="406">
      <c r="A406" s="177" t="s">
        <v>66</v>
      </c>
      <c r="B406" s="178" t="s">
        <v>67</v>
      </c>
      <c r="C406" s="179" t="s">
        <v>68</v>
      </c>
      <c r="D406" s="179" t="s">
        <v>69</v>
      </c>
      <c r="E406" s="179" t="s">
        <v>70</v>
      </c>
      <c r="F406" s="180" t="s">
        <v>71</v>
      </c>
      <c r="G406" s="180" t="s">
        <v>72</v>
      </c>
      <c r="H406" s="179" t="s">
        <v>73</v>
      </c>
    </row>
    <row r="407">
      <c r="A407" s="182" t="s">
        <v>210</v>
      </c>
      <c r="B407" s="183" t="s">
        <v>164</v>
      </c>
      <c r="C407" s="183">
        <v>270.0</v>
      </c>
      <c r="D407" s="183">
        <v>1.0</v>
      </c>
      <c r="E407" s="183">
        <v>2.0</v>
      </c>
      <c r="F407" s="185">
        <v>1000.0</v>
      </c>
      <c r="G407" s="185">
        <f t="shared" ref="G407:G410" si="39">SUM(D407*E407*F407)</f>
        <v>2000</v>
      </c>
      <c r="H407" s="187" t="s">
        <v>211</v>
      </c>
    </row>
    <row r="408">
      <c r="A408" s="216" t="s">
        <v>212</v>
      </c>
      <c r="B408" s="217" t="s">
        <v>67</v>
      </c>
      <c r="C408" s="217">
        <v>270.0</v>
      </c>
      <c r="D408" s="217">
        <v>1.0</v>
      </c>
      <c r="E408" s="217">
        <v>2.0</v>
      </c>
      <c r="F408" s="218">
        <v>1000.0</v>
      </c>
      <c r="G408" s="218">
        <f t="shared" si="39"/>
        <v>2000</v>
      </c>
      <c r="H408" s="219" t="s">
        <v>213</v>
      </c>
    </row>
    <row r="409">
      <c r="A409" s="182" t="s">
        <v>84</v>
      </c>
      <c r="B409" s="183" t="s">
        <v>164</v>
      </c>
      <c r="C409" s="183">
        <v>270.0</v>
      </c>
      <c r="D409" s="183">
        <v>1.0</v>
      </c>
      <c r="E409" s="183">
        <v>2.0</v>
      </c>
      <c r="F409" s="185">
        <v>400.0</v>
      </c>
      <c r="G409" s="185">
        <f t="shared" si="39"/>
        <v>800</v>
      </c>
      <c r="H409" s="187" t="s">
        <v>214</v>
      </c>
    </row>
    <row r="410">
      <c r="A410" s="182" t="s">
        <v>163</v>
      </c>
      <c r="B410" s="183" t="s">
        <v>164</v>
      </c>
      <c r="C410" s="183">
        <v>270.0</v>
      </c>
      <c r="D410" s="183">
        <v>1.0</v>
      </c>
      <c r="E410" s="183">
        <v>2.0</v>
      </c>
      <c r="F410" s="185">
        <v>400.0</v>
      </c>
      <c r="G410" s="185">
        <f t="shared" si="39"/>
        <v>800</v>
      </c>
      <c r="H410" s="187" t="s">
        <v>215</v>
      </c>
    </row>
    <row r="411">
      <c r="A411" s="191" t="s">
        <v>93</v>
      </c>
      <c r="B411" s="12"/>
      <c r="C411" s="12"/>
      <c r="D411" s="12"/>
      <c r="E411" s="12"/>
      <c r="F411" s="12"/>
      <c r="G411" s="13"/>
      <c r="H411" s="192">
        <f>SUM(G407:G410)</f>
        <v>5600</v>
      </c>
    </row>
    <row r="412">
      <c r="A412" s="193"/>
      <c r="B412" s="194"/>
      <c r="C412" s="194"/>
      <c r="D412" s="194"/>
      <c r="E412" s="194"/>
      <c r="F412" s="194"/>
      <c r="G412" s="195"/>
      <c r="H412" s="196"/>
    </row>
    <row r="413">
      <c r="A413" s="197" t="s">
        <v>201</v>
      </c>
      <c r="B413" s="198"/>
      <c r="C413" s="198"/>
      <c r="D413" s="198"/>
      <c r="E413" s="198"/>
      <c r="F413" s="199"/>
      <c r="G413" s="199"/>
      <c r="H413" s="198"/>
    </row>
    <row r="414">
      <c r="A414" s="201" t="s">
        <v>65</v>
      </c>
      <c r="B414" s="202"/>
      <c r="C414" s="202"/>
      <c r="D414" s="202"/>
      <c r="E414" s="202"/>
      <c r="F414" s="203"/>
      <c r="G414" s="203"/>
      <c r="H414" s="202"/>
    </row>
    <row r="415">
      <c r="A415" s="177" t="s">
        <v>66</v>
      </c>
      <c r="B415" s="178" t="s">
        <v>67</v>
      </c>
      <c r="C415" s="179" t="s">
        <v>68</v>
      </c>
      <c r="D415" s="179" t="s">
        <v>69</v>
      </c>
      <c r="E415" s="179" t="s">
        <v>70</v>
      </c>
      <c r="F415" s="180" t="s">
        <v>71</v>
      </c>
      <c r="G415" s="180" t="s">
        <v>72</v>
      </c>
      <c r="H415" s="179" t="s">
        <v>73</v>
      </c>
    </row>
    <row r="416">
      <c r="A416" s="182" t="s">
        <v>210</v>
      </c>
      <c r="B416" s="183" t="s">
        <v>164</v>
      </c>
      <c r="C416" s="183">
        <v>270.0</v>
      </c>
      <c r="D416" s="183">
        <v>1.0</v>
      </c>
      <c r="E416" s="183">
        <v>2.0</v>
      </c>
      <c r="F416" s="185">
        <v>1000.0</v>
      </c>
      <c r="G416" s="185">
        <f t="shared" ref="G416:G419" si="40">SUM(D416*E416*F416)</f>
        <v>2000</v>
      </c>
      <c r="H416" s="187" t="s">
        <v>211</v>
      </c>
    </row>
    <row r="417">
      <c r="A417" s="216" t="s">
        <v>212</v>
      </c>
      <c r="B417" s="217" t="s">
        <v>67</v>
      </c>
      <c r="C417" s="217">
        <v>270.0</v>
      </c>
      <c r="D417" s="217">
        <v>1.0</v>
      </c>
      <c r="E417" s="217">
        <v>2.0</v>
      </c>
      <c r="F417" s="218">
        <v>1000.0</v>
      </c>
      <c r="G417" s="218">
        <f t="shared" si="40"/>
        <v>2000</v>
      </c>
      <c r="H417" s="219" t="s">
        <v>213</v>
      </c>
    </row>
    <row r="418">
      <c r="A418" s="182" t="s">
        <v>84</v>
      </c>
      <c r="B418" s="183" t="s">
        <v>164</v>
      </c>
      <c r="C418" s="183">
        <v>270.0</v>
      </c>
      <c r="D418" s="183">
        <v>1.0</v>
      </c>
      <c r="E418" s="183">
        <v>2.0</v>
      </c>
      <c r="F418" s="185">
        <v>400.0</v>
      </c>
      <c r="G418" s="185">
        <f t="shared" si="40"/>
        <v>800</v>
      </c>
      <c r="H418" s="187" t="s">
        <v>214</v>
      </c>
    </row>
    <row r="419">
      <c r="A419" s="182" t="s">
        <v>163</v>
      </c>
      <c r="B419" s="183" t="s">
        <v>164</v>
      </c>
      <c r="C419" s="183">
        <v>270.0</v>
      </c>
      <c r="D419" s="183">
        <v>1.0</v>
      </c>
      <c r="E419" s="183">
        <v>2.0</v>
      </c>
      <c r="F419" s="185">
        <v>400.0</v>
      </c>
      <c r="G419" s="185">
        <f t="shared" si="40"/>
        <v>800</v>
      </c>
      <c r="H419" s="187" t="s">
        <v>215</v>
      </c>
    </row>
    <row r="420">
      <c r="A420" s="191" t="s">
        <v>93</v>
      </c>
      <c r="B420" s="12"/>
      <c r="C420" s="12"/>
      <c r="D420" s="12"/>
      <c r="E420" s="12"/>
      <c r="F420" s="12"/>
      <c r="G420" s="13"/>
      <c r="H420" s="192">
        <f>SUM(G416:G419)</f>
        <v>5600</v>
      </c>
    </row>
    <row r="421">
      <c r="A421" s="193"/>
      <c r="B421" s="194"/>
      <c r="C421" s="194"/>
      <c r="D421" s="194"/>
      <c r="E421" s="194"/>
      <c r="F421" s="194"/>
      <c r="G421" s="195"/>
      <c r="H421" s="196"/>
    </row>
    <row r="422">
      <c r="A422" s="197" t="s">
        <v>216</v>
      </c>
      <c r="B422" s="198"/>
      <c r="C422" s="198"/>
      <c r="D422" s="198"/>
      <c r="E422" s="198"/>
      <c r="F422" s="199"/>
      <c r="G422" s="199"/>
      <c r="H422" s="198"/>
    </row>
    <row r="423">
      <c r="A423" s="201" t="s">
        <v>65</v>
      </c>
      <c r="B423" s="202"/>
      <c r="C423" s="202"/>
      <c r="D423" s="202"/>
      <c r="E423" s="202"/>
      <c r="F423" s="203"/>
      <c r="G423" s="203"/>
      <c r="H423" s="202"/>
    </row>
    <row r="424">
      <c r="A424" s="177" t="s">
        <v>66</v>
      </c>
      <c r="B424" s="178" t="s">
        <v>67</v>
      </c>
      <c r="C424" s="179" t="s">
        <v>68</v>
      </c>
      <c r="D424" s="179" t="s">
        <v>69</v>
      </c>
      <c r="E424" s="179" t="s">
        <v>70</v>
      </c>
      <c r="F424" s="180" t="s">
        <v>71</v>
      </c>
      <c r="G424" s="180" t="s">
        <v>72</v>
      </c>
      <c r="H424" s="179" t="s">
        <v>73</v>
      </c>
    </row>
    <row r="425">
      <c r="A425" s="182" t="s">
        <v>210</v>
      </c>
      <c r="B425" s="183" t="s">
        <v>164</v>
      </c>
      <c r="C425" s="183">
        <v>270.0</v>
      </c>
      <c r="D425" s="183">
        <v>1.0</v>
      </c>
      <c r="E425" s="183">
        <v>2.0</v>
      </c>
      <c r="F425" s="185">
        <v>1000.0</v>
      </c>
      <c r="G425" s="185">
        <f t="shared" ref="G425:G428" si="41">SUM(D425*E425*F425)</f>
        <v>2000</v>
      </c>
      <c r="H425" s="187" t="s">
        <v>211</v>
      </c>
    </row>
    <row r="426">
      <c r="A426" s="216" t="s">
        <v>212</v>
      </c>
      <c r="B426" s="217" t="s">
        <v>67</v>
      </c>
      <c r="C426" s="217">
        <v>270.0</v>
      </c>
      <c r="D426" s="217">
        <v>1.0</v>
      </c>
      <c r="E426" s="217">
        <v>2.0</v>
      </c>
      <c r="F426" s="218">
        <v>1000.0</v>
      </c>
      <c r="G426" s="218">
        <f t="shared" si="41"/>
        <v>2000</v>
      </c>
      <c r="H426" s="219" t="s">
        <v>213</v>
      </c>
    </row>
    <row r="427">
      <c r="A427" s="182" t="s">
        <v>84</v>
      </c>
      <c r="B427" s="183" t="s">
        <v>164</v>
      </c>
      <c r="C427" s="183">
        <v>270.0</v>
      </c>
      <c r="D427" s="183">
        <v>1.0</v>
      </c>
      <c r="E427" s="183">
        <v>2.0</v>
      </c>
      <c r="F427" s="185">
        <v>400.0</v>
      </c>
      <c r="G427" s="185">
        <f t="shared" si="41"/>
        <v>800</v>
      </c>
      <c r="H427" s="187" t="s">
        <v>214</v>
      </c>
    </row>
    <row r="428">
      <c r="A428" s="182" t="s">
        <v>163</v>
      </c>
      <c r="B428" s="183" t="s">
        <v>164</v>
      </c>
      <c r="C428" s="183">
        <v>270.0</v>
      </c>
      <c r="D428" s="183">
        <v>1.0</v>
      </c>
      <c r="E428" s="183">
        <v>2.0</v>
      </c>
      <c r="F428" s="185">
        <v>400.0</v>
      </c>
      <c r="G428" s="185">
        <f t="shared" si="41"/>
        <v>800</v>
      </c>
      <c r="H428" s="187" t="s">
        <v>215</v>
      </c>
    </row>
    <row r="429">
      <c r="A429" s="191" t="s">
        <v>93</v>
      </c>
      <c r="B429" s="12"/>
      <c r="C429" s="12"/>
      <c r="D429" s="12"/>
      <c r="E429" s="12"/>
      <c r="F429" s="12"/>
      <c r="G429" s="13"/>
      <c r="H429" s="192">
        <f>SUM(G425:G428)</f>
        <v>5600</v>
      </c>
    </row>
    <row r="430">
      <c r="A430" s="193"/>
      <c r="B430" s="194"/>
      <c r="C430" s="194"/>
      <c r="D430" s="194"/>
      <c r="E430" s="194"/>
      <c r="F430" s="194"/>
      <c r="G430" s="195"/>
      <c r="H430" s="196"/>
    </row>
    <row r="431">
      <c r="A431" s="197" t="s">
        <v>173</v>
      </c>
      <c r="B431" s="198"/>
      <c r="C431" s="198"/>
      <c r="D431" s="198"/>
      <c r="E431" s="198"/>
      <c r="F431" s="199"/>
      <c r="G431" s="199"/>
      <c r="H431" s="198"/>
    </row>
    <row r="432">
      <c r="A432" s="201" t="s">
        <v>65</v>
      </c>
      <c r="B432" s="202"/>
      <c r="C432" s="202"/>
      <c r="D432" s="202"/>
      <c r="E432" s="202"/>
      <c r="F432" s="203"/>
      <c r="G432" s="203"/>
      <c r="H432" s="202"/>
    </row>
    <row r="433">
      <c r="A433" s="177" t="s">
        <v>66</v>
      </c>
      <c r="B433" s="178" t="s">
        <v>67</v>
      </c>
      <c r="C433" s="179" t="s">
        <v>68</v>
      </c>
      <c r="D433" s="179" t="s">
        <v>69</v>
      </c>
      <c r="E433" s="179" t="s">
        <v>70</v>
      </c>
      <c r="F433" s="180" t="s">
        <v>71</v>
      </c>
      <c r="G433" s="180" t="s">
        <v>72</v>
      </c>
      <c r="H433" s="179" t="s">
        <v>73</v>
      </c>
    </row>
    <row r="434">
      <c r="A434" s="182" t="s">
        <v>210</v>
      </c>
      <c r="B434" s="183" t="s">
        <v>164</v>
      </c>
      <c r="C434" s="183">
        <v>270.0</v>
      </c>
      <c r="D434" s="183">
        <v>1.0</v>
      </c>
      <c r="E434" s="183">
        <v>2.0</v>
      </c>
      <c r="F434" s="185">
        <v>1000.0</v>
      </c>
      <c r="G434" s="185">
        <f t="shared" ref="G434:G437" si="42">SUM(D434*E434*F434)</f>
        <v>2000</v>
      </c>
      <c r="H434" s="187" t="s">
        <v>211</v>
      </c>
    </row>
    <row r="435">
      <c r="A435" s="216" t="s">
        <v>212</v>
      </c>
      <c r="B435" s="217" t="s">
        <v>67</v>
      </c>
      <c r="C435" s="217">
        <v>270.0</v>
      </c>
      <c r="D435" s="217">
        <v>1.0</v>
      </c>
      <c r="E435" s="217">
        <v>2.0</v>
      </c>
      <c r="F435" s="218">
        <v>1000.0</v>
      </c>
      <c r="G435" s="218">
        <f t="shared" si="42"/>
        <v>2000</v>
      </c>
      <c r="H435" s="219" t="s">
        <v>213</v>
      </c>
    </row>
    <row r="436">
      <c r="A436" s="182" t="s">
        <v>84</v>
      </c>
      <c r="B436" s="183" t="s">
        <v>164</v>
      </c>
      <c r="C436" s="183">
        <v>270.0</v>
      </c>
      <c r="D436" s="183">
        <v>1.0</v>
      </c>
      <c r="E436" s="183">
        <v>2.0</v>
      </c>
      <c r="F436" s="185">
        <v>400.0</v>
      </c>
      <c r="G436" s="185">
        <f t="shared" si="42"/>
        <v>800</v>
      </c>
      <c r="H436" s="187" t="s">
        <v>214</v>
      </c>
    </row>
    <row r="437">
      <c r="A437" s="182" t="s">
        <v>163</v>
      </c>
      <c r="B437" s="183" t="s">
        <v>164</v>
      </c>
      <c r="C437" s="183">
        <v>270.0</v>
      </c>
      <c r="D437" s="183">
        <v>1.0</v>
      </c>
      <c r="E437" s="183">
        <v>2.0</v>
      </c>
      <c r="F437" s="185">
        <v>400.0</v>
      </c>
      <c r="G437" s="185">
        <f t="shared" si="42"/>
        <v>800</v>
      </c>
      <c r="H437" s="187" t="s">
        <v>215</v>
      </c>
    </row>
    <row r="438">
      <c r="A438" s="191" t="s">
        <v>93</v>
      </c>
      <c r="B438" s="12"/>
      <c r="C438" s="12"/>
      <c r="D438" s="12"/>
      <c r="E438" s="12"/>
      <c r="F438" s="12"/>
      <c r="G438" s="13"/>
      <c r="H438" s="192">
        <f>SUM(G434:G437)</f>
        <v>5600</v>
      </c>
    </row>
    <row r="439">
      <c r="A439" s="193"/>
      <c r="B439" s="194"/>
      <c r="C439" s="194"/>
      <c r="D439" s="194"/>
      <c r="E439" s="194"/>
      <c r="F439" s="194"/>
      <c r="G439" s="195"/>
      <c r="H439" s="196"/>
    </row>
    <row r="440">
      <c r="A440" s="197" t="s">
        <v>168</v>
      </c>
      <c r="B440" s="198"/>
      <c r="C440" s="198"/>
      <c r="D440" s="198"/>
      <c r="E440" s="198"/>
      <c r="F440" s="199"/>
      <c r="G440" s="199"/>
      <c r="H440" s="198"/>
    </row>
    <row r="441">
      <c r="A441" s="201" t="s">
        <v>65</v>
      </c>
      <c r="B441" s="202"/>
      <c r="C441" s="202"/>
      <c r="D441" s="202"/>
      <c r="E441" s="202"/>
      <c r="F441" s="203"/>
      <c r="G441" s="203"/>
      <c r="H441" s="202"/>
    </row>
    <row r="442">
      <c r="A442" s="177" t="s">
        <v>66</v>
      </c>
      <c r="B442" s="178" t="s">
        <v>67</v>
      </c>
      <c r="C442" s="179" t="s">
        <v>68</v>
      </c>
      <c r="D442" s="179" t="s">
        <v>69</v>
      </c>
      <c r="E442" s="179" t="s">
        <v>70</v>
      </c>
      <c r="F442" s="180" t="s">
        <v>71</v>
      </c>
      <c r="G442" s="180" t="s">
        <v>72</v>
      </c>
      <c r="H442" s="179" t="s">
        <v>73</v>
      </c>
    </row>
    <row r="443">
      <c r="A443" s="182" t="s">
        <v>210</v>
      </c>
      <c r="B443" s="183" t="s">
        <v>164</v>
      </c>
      <c r="C443" s="183">
        <v>270.0</v>
      </c>
      <c r="D443" s="183">
        <v>1.0</v>
      </c>
      <c r="E443" s="183">
        <v>2.0</v>
      </c>
      <c r="F443" s="185">
        <v>1000.0</v>
      </c>
      <c r="G443" s="185">
        <f t="shared" ref="G443:G446" si="43">SUM(D443*E443*F443)</f>
        <v>2000</v>
      </c>
      <c r="H443" s="187" t="s">
        <v>211</v>
      </c>
    </row>
    <row r="444">
      <c r="A444" s="216" t="s">
        <v>212</v>
      </c>
      <c r="B444" s="217" t="s">
        <v>67</v>
      </c>
      <c r="C444" s="217">
        <v>270.0</v>
      </c>
      <c r="D444" s="217">
        <v>1.0</v>
      </c>
      <c r="E444" s="217">
        <v>2.0</v>
      </c>
      <c r="F444" s="218">
        <v>1000.0</v>
      </c>
      <c r="G444" s="218">
        <f t="shared" si="43"/>
        <v>2000</v>
      </c>
      <c r="H444" s="219" t="s">
        <v>213</v>
      </c>
    </row>
    <row r="445">
      <c r="A445" s="182" t="s">
        <v>84</v>
      </c>
      <c r="B445" s="183" t="s">
        <v>164</v>
      </c>
      <c r="C445" s="183">
        <v>270.0</v>
      </c>
      <c r="D445" s="183">
        <v>1.0</v>
      </c>
      <c r="E445" s="183">
        <v>2.0</v>
      </c>
      <c r="F445" s="185">
        <v>400.0</v>
      </c>
      <c r="G445" s="185">
        <f t="shared" si="43"/>
        <v>800</v>
      </c>
      <c r="H445" s="187" t="s">
        <v>214</v>
      </c>
    </row>
    <row r="446">
      <c r="A446" s="182" t="s">
        <v>163</v>
      </c>
      <c r="B446" s="183" t="s">
        <v>164</v>
      </c>
      <c r="C446" s="183">
        <v>270.0</v>
      </c>
      <c r="D446" s="183">
        <v>1.0</v>
      </c>
      <c r="E446" s="183">
        <v>2.0</v>
      </c>
      <c r="F446" s="185">
        <v>400.0</v>
      </c>
      <c r="G446" s="185">
        <f t="shared" si="43"/>
        <v>800</v>
      </c>
      <c r="H446" s="187" t="s">
        <v>215</v>
      </c>
    </row>
    <row r="447">
      <c r="A447" s="191" t="s">
        <v>93</v>
      </c>
      <c r="B447" s="12"/>
      <c r="C447" s="12"/>
      <c r="D447" s="12"/>
      <c r="E447" s="12"/>
      <c r="F447" s="12"/>
      <c r="G447" s="13"/>
      <c r="H447" s="192">
        <f>SUM(G443:G446)</f>
        <v>5600</v>
      </c>
    </row>
    <row r="448">
      <c r="A448" s="193"/>
      <c r="B448" s="194"/>
      <c r="C448" s="194"/>
      <c r="D448" s="194"/>
      <c r="E448" s="194"/>
      <c r="F448" s="194"/>
      <c r="G448" s="195"/>
      <c r="H448" s="196"/>
    </row>
    <row r="449">
      <c r="A449" s="197" t="s">
        <v>174</v>
      </c>
      <c r="B449" s="198"/>
      <c r="C449" s="198"/>
      <c r="D449" s="198"/>
      <c r="E449" s="198"/>
      <c r="F449" s="199"/>
      <c r="G449" s="199"/>
      <c r="H449" s="198"/>
    </row>
    <row r="450">
      <c r="A450" s="201" t="s">
        <v>65</v>
      </c>
      <c r="B450" s="202"/>
      <c r="C450" s="202"/>
      <c r="D450" s="202"/>
      <c r="E450" s="202"/>
      <c r="F450" s="203"/>
      <c r="G450" s="203"/>
      <c r="H450" s="202"/>
    </row>
    <row r="451">
      <c r="A451" s="177" t="s">
        <v>66</v>
      </c>
      <c r="B451" s="178" t="s">
        <v>67</v>
      </c>
      <c r="C451" s="179" t="s">
        <v>68</v>
      </c>
      <c r="D451" s="179" t="s">
        <v>69</v>
      </c>
      <c r="E451" s="179" t="s">
        <v>70</v>
      </c>
      <c r="F451" s="180" t="s">
        <v>71</v>
      </c>
      <c r="G451" s="180" t="s">
        <v>72</v>
      </c>
      <c r="H451" s="179" t="s">
        <v>73</v>
      </c>
    </row>
    <row r="452">
      <c r="A452" s="182" t="s">
        <v>210</v>
      </c>
      <c r="B452" s="183" t="s">
        <v>164</v>
      </c>
      <c r="C452" s="183">
        <v>270.0</v>
      </c>
      <c r="D452" s="183">
        <v>1.0</v>
      </c>
      <c r="E452" s="183">
        <v>2.0</v>
      </c>
      <c r="F452" s="185">
        <v>1000.0</v>
      </c>
      <c r="G452" s="185">
        <f t="shared" ref="G452:G455" si="44">SUM(D452*E452*F452)</f>
        <v>2000</v>
      </c>
      <c r="H452" s="187" t="s">
        <v>211</v>
      </c>
    </row>
    <row r="453">
      <c r="A453" s="216" t="s">
        <v>212</v>
      </c>
      <c r="B453" s="217" t="s">
        <v>67</v>
      </c>
      <c r="C453" s="217">
        <v>270.0</v>
      </c>
      <c r="D453" s="217">
        <v>1.0</v>
      </c>
      <c r="E453" s="217">
        <v>2.0</v>
      </c>
      <c r="F453" s="218">
        <v>1000.0</v>
      </c>
      <c r="G453" s="218">
        <f t="shared" si="44"/>
        <v>2000</v>
      </c>
      <c r="H453" s="219" t="s">
        <v>213</v>
      </c>
    </row>
    <row r="454">
      <c r="A454" s="182" t="s">
        <v>84</v>
      </c>
      <c r="B454" s="183" t="s">
        <v>164</v>
      </c>
      <c r="C454" s="183">
        <v>270.0</v>
      </c>
      <c r="D454" s="183">
        <v>1.0</v>
      </c>
      <c r="E454" s="183">
        <v>2.0</v>
      </c>
      <c r="F454" s="185">
        <v>400.0</v>
      </c>
      <c r="G454" s="185">
        <f t="shared" si="44"/>
        <v>800</v>
      </c>
      <c r="H454" s="187" t="s">
        <v>214</v>
      </c>
    </row>
    <row r="455">
      <c r="A455" s="182" t="s">
        <v>163</v>
      </c>
      <c r="B455" s="183" t="s">
        <v>164</v>
      </c>
      <c r="C455" s="183">
        <v>270.0</v>
      </c>
      <c r="D455" s="183">
        <v>1.0</v>
      </c>
      <c r="E455" s="183">
        <v>2.0</v>
      </c>
      <c r="F455" s="185">
        <v>400.0</v>
      </c>
      <c r="G455" s="185">
        <f t="shared" si="44"/>
        <v>800</v>
      </c>
      <c r="H455" s="187" t="s">
        <v>215</v>
      </c>
    </row>
    <row r="456">
      <c r="A456" s="191" t="s">
        <v>93</v>
      </c>
      <c r="B456" s="12"/>
      <c r="C456" s="12"/>
      <c r="D456" s="12"/>
      <c r="E456" s="12"/>
      <c r="F456" s="12"/>
      <c r="G456" s="13"/>
      <c r="H456" s="192">
        <f>SUM(G452:G455)</f>
        <v>5600</v>
      </c>
    </row>
    <row r="457">
      <c r="A457" s="193"/>
      <c r="B457" s="194"/>
      <c r="C457" s="194"/>
      <c r="D457" s="194"/>
      <c r="E457" s="194"/>
      <c r="F457" s="194"/>
      <c r="G457" s="195"/>
      <c r="H457" s="196"/>
    </row>
    <row r="458">
      <c r="A458" s="211" t="s">
        <v>217</v>
      </c>
      <c r="B458" s="12"/>
      <c r="C458" s="12"/>
      <c r="D458" s="12"/>
      <c r="E458" s="12"/>
      <c r="F458" s="12"/>
      <c r="G458" s="12"/>
      <c r="H458" s="13"/>
    </row>
    <row r="459">
      <c r="A459" s="197" t="s">
        <v>175</v>
      </c>
      <c r="B459" s="198"/>
      <c r="C459" s="198"/>
      <c r="D459" s="198"/>
      <c r="E459" s="198"/>
      <c r="F459" s="199"/>
      <c r="G459" s="199"/>
      <c r="H459" s="198"/>
    </row>
    <row r="460">
      <c r="A460" s="201" t="s">
        <v>65</v>
      </c>
      <c r="B460" s="202"/>
      <c r="C460" s="202"/>
      <c r="D460" s="202"/>
      <c r="E460" s="202"/>
      <c r="F460" s="203"/>
      <c r="G460" s="203"/>
      <c r="H460" s="202"/>
    </row>
    <row r="461">
      <c r="A461" s="177" t="s">
        <v>66</v>
      </c>
      <c r="B461" s="178" t="s">
        <v>67</v>
      </c>
      <c r="C461" s="179" t="s">
        <v>68</v>
      </c>
      <c r="D461" s="179" t="s">
        <v>69</v>
      </c>
      <c r="E461" s="179" t="s">
        <v>70</v>
      </c>
      <c r="F461" s="180" t="s">
        <v>71</v>
      </c>
      <c r="G461" s="180" t="s">
        <v>72</v>
      </c>
      <c r="H461" s="179" t="s">
        <v>73</v>
      </c>
    </row>
    <row r="462">
      <c r="A462" s="182" t="s">
        <v>210</v>
      </c>
      <c r="B462" s="183" t="s">
        <v>164</v>
      </c>
      <c r="C462" s="183">
        <v>270.0</v>
      </c>
      <c r="D462" s="183">
        <v>1.0</v>
      </c>
      <c r="E462" s="183">
        <v>1.0</v>
      </c>
      <c r="F462" s="185">
        <v>1000.0</v>
      </c>
      <c r="G462" s="185">
        <f t="shared" ref="G462:G464" si="45">SUM(D462*E462*F462)</f>
        <v>1000</v>
      </c>
      <c r="H462" s="187" t="s">
        <v>218</v>
      </c>
    </row>
    <row r="463">
      <c r="A463" s="182" t="s">
        <v>84</v>
      </c>
      <c r="B463" s="183" t="s">
        <v>164</v>
      </c>
      <c r="C463" s="183">
        <v>270.0</v>
      </c>
      <c r="D463" s="183">
        <v>1.0</v>
      </c>
      <c r="E463" s="183">
        <v>1.0</v>
      </c>
      <c r="F463" s="185">
        <v>400.0</v>
      </c>
      <c r="G463" s="185">
        <f t="shared" si="45"/>
        <v>400</v>
      </c>
      <c r="H463" s="187" t="s">
        <v>214</v>
      </c>
    </row>
    <row r="464">
      <c r="A464" s="182" t="s">
        <v>163</v>
      </c>
      <c r="B464" s="183" t="s">
        <v>164</v>
      </c>
      <c r="C464" s="183">
        <v>270.0</v>
      </c>
      <c r="D464" s="183">
        <v>1.0</v>
      </c>
      <c r="E464" s="183">
        <v>1.0</v>
      </c>
      <c r="F464" s="185">
        <v>400.0</v>
      </c>
      <c r="G464" s="185">
        <f t="shared" si="45"/>
        <v>400</v>
      </c>
      <c r="H464" s="187" t="s">
        <v>219</v>
      </c>
    </row>
    <row r="465">
      <c r="A465" s="191" t="s">
        <v>93</v>
      </c>
      <c r="B465" s="12"/>
      <c r="C465" s="12"/>
      <c r="D465" s="12"/>
      <c r="E465" s="12"/>
      <c r="F465" s="12"/>
      <c r="G465" s="13"/>
      <c r="H465" s="192">
        <f>SUM(G462:G464)</f>
        <v>1800</v>
      </c>
    </row>
    <row r="466">
      <c r="A466" s="182"/>
      <c r="B466" s="183"/>
      <c r="C466" s="183"/>
      <c r="D466" s="183"/>
      <c r="E466" s="183"/>
      <c r="F466" s="204"/>
      <c r="G466" s="185"/>
      <c r="H466" s="187"/>
    </row>
    <row r="467">
      <c r="A467" s="197" t="s">
        <v>208</v>
      </c>
      <c r="B467" s="198"/>
      <c r="C467" s="198"/>
      <c r="D467" s="198"/>
      <c r="E467" s="198"/>
      <c r="F467" s="199"/>
      <c r="G467" s="199"/>
      <c r="H467" s="198"/>
    </row>
    <row r="468">
      <c r="A468" s="201" t="s">
        <v>65</v>
      </c>
      <c r="B468" s="202"/>
      <c r="C468" s="202"/>
      <c r="D468" s="202"/>
      <c r="E468" s="202"/>
      <c r="F468" s="203"/>
      <c r="G468" s="203"/>
      <c r="H468" s="202"/>
    </row>
    <row r="469">
      <c r="A469" s="177" t="s">
        <v>66</v>
      </c>
      <c r="B469" s="178" t="s">
        <v>67</v>
      </c>
      <c r="C469" s="179" t="s">
        <v>68</v>
      </c>
      <c r="D469" s="179" t="s">
        <v>69</v>
      </c>
      <c r="E469" s="179" t="s">
        <v>70</v>
      </c>
      <c r="F469" s="180" t="s">
        <v>71</v>
      </c>
      <c r="G469" s="180" t="s">
        <v>72</v>
      </c>
      <c r="H469" s="179" t="s">
        <v>73</v>
      </c>
    </row>
    <row r="470">
      <c r="A470" s="182" t="s">
        <v>210</v>
      </c>
      <c r="B470" s="183" t="s">
        <v>164</v>
      </c>
      <c r="C470" s="183">
        <v>270.0</v>
      </c>
      <c r="D470" s="183">
        <v>1.0</v>
      </c>
      <c r="E470" s="183">
        <v>1.0</v>
      </c>
      <c r="F470" s="185">
        <v>1000.0</v>
      </c>
      <c r="G470" s="185">
        <f t="shared" ref="G470:G472" si="46">SUM(D470*E470*F470)</f>
        <v>1000</v>
      </c>
      <c r="H470" s="187" t="s">
        <v>218</v>
      </c>
    </row>
    <row r="471">
      <c r="A471" s="182" t="s">
        <v>84</v>
      </c>
      <c r="B471" s="183" t="s">
        <v>164</v>
      </c>
      <c r="C471" s="183">
        <v>270.0</v>
      </c>
      <c r="D471" s="183">
        <v>1.0</v>
      </c>
      <c r="E471" s="183">
        <v>1.0</v>
      </c>
      <c r="F471" s="185">
        <v>400.0</v>
      </c>
      <c r="G471" s="185">
        <f t="shared" si="46"/>
        <v>400</v>
      </c>
      <c r="H471" s="187" t="s">
        <v>214</v>
      </c>
    </row>
    <row r="472">
      <c r="A472" s="182" t="s">
        <v>163</v>
      </c>
      <c r="B472" s="183" t="s">
        <v>164</v>
      </c>
      <c r="C472" s="183">
        <v>270.0</v>
      </c>
      <c r="D472" s="183">
        <v>1.0</v>
      </c>
      <c r="E472" s="183">
        <v>1.0</v>
      </c>
      <c r="F472" s="185">
        <v>400.0</v>
      </c>
      <c r="G472" s="185">
        <f t="shared" si="46"/>
        <v>400</v>
      </c>
      <c r="H472" s="187" t="s">
        <v>219</v>
      </c>
    </row>
    <row r="473">
      <c r="A473" s="191" t="s">
        <v>93</v>
      </c>
      <c r="B473" s="12"/>
      <c r="C473" s="12"/>
      <c r="D473" s="12"/>
      <c r="E473" s="12"/>
      <c r="F473" s="12"/>
      <c r="G473" s="13"/>
      <c r="H473" s="192">
        <f>SUM(G470:G472)</f>
        <v>1800</v>
      </c>
    </row>
    <row r="474">
      <c r="A474" s="193"/>
      <c r="B474" s="194"/>
      <c r="C474" s="194"/>
      <c r="D474" s="194"/>
      <c r="E474" s="194"/>
      <c r="F474" s="194"/>
      <c r="G474" s="195"/>
      <c r="H474" s="196"/>
    </row>
    <row r="475">
      <c r="A475" s="197" t="s">
        <v>198</v>
      </c>
      <c r="B475" s="198"/>
      <c r="C475" s="198"/>
      <c r="D475" s="198"/>
      <c r="E475" s="198"/>
      <c r="F475" s="199"/>
      <c r="G475" s="199"/>
      <c r="H475" s="198"/>
    </row>
    <row r="476">
      <c r="A476" s="201" t="s">
        <v>65</v>
      </c>
      <c r="B476" s="202"/>
      <c r="C476" s="202"/>
      <c r="D476" s="202"/>
      <c r="E476" s="202"/>
      <c r="F476" s="203"/>
      <c r="G476" s="203"/>
      <c r="H476" s="202"/>
    </row>
    <row r="477">
      <c r="A477" s="177" t="s">
        <v>66</v>
      </c>
      <c r="B477" s="178" t="s">
        <v>67</v>
      </c>
      <c r="C477" s="179" t="s">
        <v>68</v>
      </c>
      <c r="D477" s="179" t="s">
        <v>69</v>
      </c>
      <c r="E477" s="179" t="s">
        <v>70</v>
      </c>
      <c r="F477" s="180" t="s">
        <v>71</v>
      </c>
      <c r="G477" s="180" t="s">
        <v>72</v>
      </c>
      <c r="H477" s="179" t="s">
        <v>73</v>
      </c>
    </row>
    <row r="478">
      <c r="A478" s="182" t="s">
        <v>210</v>
      </c>
      <c r="B478" s="183" t="s">
        <v>164</v>
      </c>
      <c r="C478" s="183">
        <v>270.0</v>
      </c>
      <c r="D478" s="183">
        <v>1.0</v>
      </c>
      <c r="E478" s="183">
        <v>1.0</v>
      </c>
      <c r="F478" s="185">
        <v>1000.0</v>
      </c>
      <c r="G478" s="185">
        <f t="shared" ref="G478:G480" si="47">SUM(D478*E478*F478)</f>
        <v>1000</v>
      </c>
      <c r="H478" s="187" t="s">
        <v>218</v>
      </c>
    </row>
    <row r="479">
      <c r="A479" s="182" t="s">
        <v>84</v>
      </c>
      <c r="B479" s="183" t="s">
        <v>164</v>
      </c>
      <c r="C479" s="183">
        <v>270.0</v>
      </c>
      <c r="D479" s="183">
        <v>1.0</v>
      </c>
      <c r="E479" s="183">
        <v>1.0</v>
      </c>
      <c r="F479" s="185">
        <v>400.0</v>
      </c>
      <c r="G479" s="185">
        <f t="shared" si="47"/>
        <v>400</v>
      </c>
      <c r="H479" s="187" t="s">
        <v>214</v>
      </c>
    </row>
    <row r="480">
      <c r="A480" s="182" t="s">
        <v>163</v>
      </c>
      <c r="B480" s="183" t="s">
        <v>164</v>
      </c>
      <c r="C480" s="183">
        <v>270.0</v>
      </c>
      <c r="D480" s="183">
        <v>1.0</v>
      </c>
      <c r="E480" s="183">
        <v>1.0</v>
      </c>
      <c r="F480" s="185">
        <v>400.0</v>
      </c>
      <c r="G480" s="185">
        <f t="shared" si="47"/>
        <v>400</v>
      </c>
      <c r="H480" s="187" t="s">
        <v>219</v>
      </c>
    </row>
    <row r="481">
      <c r="A481" s="191" t="s">
        <v>93</v>
      </c>
      <c r="B481" s="12"/>
      <c r="C481" s="12"/>
      <c r="D481" s="12"/>
      <c r="E481" s="12"/>
      <c r="F481" s="12"/>
      <c r="G481" s="13"/>
      <c r="H481" s="192">
        <f>SUM(G478:G480)</f>
        <v>1800</v>
      </c>
    </row>
    <row r="482">
      <c r="A482" s="220"/>
      <c r="B482" s="221"/>
      <c r="C482" s="221"/>
      <c r="D482" s="221"/>
      <c r="E482" s="221"/>
      <c r="F482" s="221"/>
      <c r="G482" s="222"/>
      <c r="H482" s="192"/>
    </row>
    <row r="483">
      <c r="A483" s="197" t="s">
        <v>199</v>
      </c>
      <c r="B483" s="198"/>
      <c r="C483" s="198"/>
      <c r="D483" s="198"/>
      <c r="E483" s="198"/>
      <c r="F483" s="199"/>
      <c r="G483" s="199"/>
      <c r="H483" s="198"/>
    </row>
    <row r="484">
      <c r="A484" s="201" t="s">
        <v>65</v>
      </c>
      <c r="B484" s="202"/>
      <c r="C484" s="202"/>
      <c r="D484" s="202"/>
      <c r="E484" s="202"/>
      <c r="F484" s="203"/>
      <c r="G484" s="203"/>
      <c r="H484" s="202"/>
    </row>
    <row r="485">
      <c r="A485" s="177" t="s">
        <v>66</v>
      </c>
      <c r="B485" s="178" t="s">
        <v>67</v>
      </c>
      <c r="C485" s="179" t="s">
        <v>68</v>
      </c>
      <c r="D485" s="179" t="s">
        <v>69</v>
      </c>
      <c r="E485" s="179" t="s">
        <v>70</v>
      </c>
      <c r="F485" s="180" t="s">
        <v>71</v>
      </c>
      <c r="G485" s="180" t="s">
        <v>72</v>
      </c>
      <c r="H485" s="179" t="s">
        <v>73</v>
      </c>
    </row>
    <row r="486">
      <c r="A486" s="182" t="s">
        <v>210</v>
      </c>
      <c r="B486" s="183" t="s">
        <v>164</v>
      </c>
      <c r="C486" s="183">
        <v>270.0</v>
      </c>
      <c r="D486" s="183">
        <v>1.0</v>
      </c>
      <c r="E486" s="183">
        <v>1.0</v>
      </c>
      <c r="F486" s="185">
        <v>1000.0</v>
      </c>
      <c r="G486" s="185">
        <f t="shared" ref="G486:G488" si="48">SUM(D486*E486*F486)</f>
        <v>1000</v>
      </c>
      <c r="H486" s="187" t="s">
        <v>218</v>
      </c>
    </row>
    <row r="487">
      <c r="A487" s="182" t="s">
        <v>84</v>
      </c>
      <c r="B487" s="183" t="s">
        <v>164</v>
      </c>
      <c r="C487" s="183">
        <v>270.0</v>
      </c>
      <c r="D487" s="183">
        <v>1.0</v>
      </c>
      <c r="E487" s="183">
        <v>1.0</v>
      </c>
      <c r="F487" s="185">
        <v>400.0</v>
      </c>
      <c r="G487" s="185">
        <f t="shared" si="48"/>
        <v>400</v>
      </c>
      <c r="H487" s="187" t="s">
        <v>214</v>
      </c>
    </row>
    <row r="488">
      <c r="A488" s="182" t="s">
        <v>163</v>
      </c>
      <c r="B488" s="183" t="s">
        <v>164</v>
      </c>
      <c r="C488" s="183">
        <v>270.0</v>
      </c>
      <c r="D488" s="183">
        <v>1.0</v>
      </c>
      <c r="E488" s="183">
        <v>1.0</v>
      </c>
      <c r="F488" s="185">
        <v>400.0</v>
      </c>
      <c r="G488" s="185">
        <f t="shared" si="48"/>
        <v>400</v>
      </c>
      <c r="H488" s="187" t="s">
        <v>219</v>
      </c>
    </row>
    <row r="489">
      <c r="A489" s="191" t="s">
        <v>93</v>
      </c>
      <c r="B489" s="12"/>
      <c r="C489" s="12"/>
      <c r="D489" s="12"/>
      <c r="E489" s="12"/>
      <c r="F489" s="12"/>
      <c r="G489" s="13"/>
      <c r="H489" s="192">
        <f>SUM(G486:G488)</f>
        <v>1800</v>
      </c>
    </row>
    <row r="490">
      <c r="A490" s="193"/>
      <c r="B490" s="194"/>
      <c r="C490" s="194"/>
      <c r="D490" s="194"/>
      <c r="E490" s="194"/>
      <c r="F490" s="194"/>
      <c r="G490" s="195"/>
      <c r="H490" s="196"/>
    </row>
    <row r="491">
      <c r="A491" s="197" t="s">
        <v>200</v>
      </c>
      <c r="B491" s="198"/>
      <c r="C491" s="198"/>
      <c r="D491" s="198"/>
      <c r="E491" s="198"/>
      <c r="F491" s="199"/>
      <c r="G491" s="199"/>
      <c r="H491" s="198"/>
    </row>
    <row r="492">
      <c r="A492" s="201" t="s">
        <v>65</v>
      </c>
      <c r="B492" s="202"/>
      <c r="C492" s="202"/>
      <c r="D492" s="202"/>
      <c r="E492" s="202"/>
      <c r="F492" s="203"/>
      <c r="G492" s="203"/>
      <c r="H492" s="202"/>
    </row>
    <row r="493">
      <c r="A493" s="177" t="s">
        <v>66</v>
      </c>
      <c r="B493" s="178" t="s">
        <v>67</v>
      </c>
      <c r="C493" s="179" t="s">
        <v>68</v>
      </c>
      <c r="D493" s="179" t="s">
        <v>69</v>
      </c>
      <c r="E493" s="179" t="s">
        <v>70</v>
      </c>
      <c r="F493" s="180" t="s">
        <v>71</v>
      </c>
      <c r="G493" s="180" t="s">
        <v>72</v>
      </c>
      <c r="H493" s="179" t="s">
        <v>73</v>
      </c>
    </row>
    <row r="494">
      <c r="A494" s="182" t="s">
        <v>210</v>
      </c>
      <c r="B494" s="183" t="s">
        <v>164</v>
      </c>
      <c r="C494" s="183">
        <v>270.0</v>
      </c>
      <c r="D494" s="183">
        <v>1.0</v>
      </c>
      <c r="E494" s="183">
        <v>1.0</v>
      </c>
      <c r="F494" s="185">
        <v>1000.0</v>
      </c>
      <c r="G494" s="185">
        <f t="shared" ref="G494:G496" si="49">SUM(D494*E494*F494)</f>
        <v>1000</v>
      </c>
      <c r="H494" s="187" t="s">
        <v>218</v>
      </c>
    </row>
    <row r="495">
      <c r="A495" s="182" t="s">
        <v>84</v>
      </c>
      <c r="B495" s="183" t="s">
        <v>164</v>
      </c>
      <c r="C495" s="183">
        <v>270.0</v>
      </c>
      <c r="D495" s="183">
        <v>1.0</v>
      </c>
      <c r="E495" s="183">
        <v>1.0</v>
      </c>
      <c r="F495" s="185">
        <v>400.0</v>
      </c>
      <c r="G495" s="185">
        <f t="shared" si="49"/>
        <v>400</v>
      </c>
      <c r="H495" s="187" t="s">
        <v>214</v>
      </c>
    </row>
    <row r="496">
      <c r="A496" s="182" t="s">
        <v>163</v>
      </c>
      <c r="B496" s="183" t="s">
        <v>164</v>
      </c>
      <c r="C496" s="183">
        <v>270.0</v>
      </c>
      <c r="D496" s="183">
        <v>1.0</v>
      </c>
      <c r="E496" s="183">
        <v>1.0</v>
      </c>
      <c r="F496" s="185">
        <v>400.0</v>
      </c>
      <c r="G496" s="185">
        <f t="shared" si="49"/>
        <v>400</v>
      </c>
      <c r="H496" s="187" t="s">
        <v>219</v>
      </c>
    </row>
    <row r="497">
      <c r="A497" s="191" t="s">
        <v>93</v>
      </c>
      <c r="B497" s="12"/>
      <c r="C497" s="12"/>
      <c r="D497" s="12"/>
      <c r="E497" s="12"/>
      <c r="F497" s="12"/>
      <c r="G497" s="13"/>
      <c r="H497" s="192">
        <f>SUM(G494:G496)</f>
        <v>1800</v>
      </c>
    </row>
    <row r="498">
      <c r="A498" s="193"/>
      <c r="B498" s="194"/>
      <c r="C498" s="194"/>
      <c r="D498" s="194"/>
      <c r="E498" s="194"/>
      <c r="F498" s="194"/>
      <c r="G498" s="195"/>
      <c r="H498" s="196"/>
    </row>
    <row r="499">
      <c r="A499" s="197" t="s">
        <v>201</v>
      </c>
      <c r="B499" s="198"/>
      <c r="C499" s="198"/>
      <c r="D499" s="198"/>
      <c r="E499" s="198"/>
      <c r="F499" s="199"/>
      <c r="G499" s="199"/>
      <c r="H499" s="198"/>
    </row>
    <row r="500">
      <c r="A500" s="201" t="s">
        <v>65</v>
      </c>
      <c r="B500" s="202"/>
      <c r="C500" s="202"/>
      <c r="D500" s="202"/>
      <c r="E500" s="202"/>
      <c r="F500" s="203"/>
      <c r="G500" s="203"/>
      <c r="H500" s="202"/>
    </row>
    <row r="501">
      <c r="A501" s="177" t="s">
        <v>66</v>
      </c>
      <c r="B501" s="178" t="s">
        <v>67</v>
      </c>
      <c r="C501" s="179" t="s">
        <v>68</v>
      </c>
      <c r="D501" s="179" t="s">
        <v>69</v>
      </c>
      <c r="E501" s="179" t="s">
        <v>70</v>
      </c>
      <c r="F501" s="180" t="s">
        <v>71</v>
      </c>
      <c r="G501" s="180" t="s">
        <v>72</v>
      </c>
      <c r="H501" s="179" t="s">
        <v>73</v>
      </c>
    </row>
    <row r="502">
      <c r="A502" s="182" t="s">
        <v>210</v>
      </c>
      <c r="B502" s="183" t="s">
        <v>164</v>
      </c>
      <c r="C502" s="183">
        <v>270.0</v>
      </c>
      <c r="D502" s="183">
        <v>1.0</v>
      </c>
      <c r="E502" s="183">
        <v>1.0</v>
      </c>
      <c r="F502" s="185">
        <v>1000.0</v>
      </c>
      <c r="G502" s="185">
        <f t="shared" ref="G502:G504" si="50">SUM(D502*E502*F502)</f>
        <v>1000</v>
      </c>
      <c r="H502" s="187" t="s">
        <v>218</v>
      </c>
    </row>
    <row r="503">
      <c r="A503" s="182" t="s">
        <v>84</v>
      </c>
      <c r="B503" s="183" t="s">
        <v>164</v>
      </c>
      <c r="C503" s="183">
        <v>270.0</v>
      </c>
      <c r="D503" s="183">
        <v>1.0</v>
      </c>
      <c r="E503" s="183">
        <v>1.0</v>
      </c>
      <c r="F503" s="185">
        <v>400.0</v>
      </c>
      <c r="G503" s="185">
        <f t="shared" si="50"/>
        <v>400</v>
      </c>
      <c r="H503" s="187" t="s">
        <v>214</v>
      </c>
    </row>
    <row r="504">
      <c r="A504" s="182" t="s">
        <v>163</v>
      </c>
      <c r="B504" s="183" t="s">
        <v>164</v>
      </c>
      <c r="C504" s="183">
        <v>270.0</v>
      </c>
      <c r="D504" s="183">
        <v>1.0</v>
      </c>
      <c r="E504" s="183">
        <v>1.0</v>
      </c>
      <c r="F504" s="185">
        <v>400.0</v>
      </c>
      <c r="G504" s="185">
        <f t="shared" si="50"/>
        <v>400</v>
      </c>
      <c r="H504" s="187" t="s">
        <v>219</v>
      </c>
    </row>
    <row r="505">
      <c r="A505" s="191" t="s">
        <v>93</v>
      </c>
      <c r="B505" s="12"/>
      <c r="C505" s="12"/>
      <c r="D505" s="12"/>
      <c r="E505" s="12"/>
      <c r="F505" s="12"/>
      <c r="G505" s="13"/>
      <c r="H505" s="192">
        <f>SUM(G502:G504)</f>
        <v>1800</v>
      </c>
    </row>
    <row r="506">
      <c r="A506" s="193"/>
      <c r="B506" s="194"/>
      <c r="C506" s="194"/>
      <c r="D506" s="194"/>
      <c r="E506" s="194"/>
      <c r="F506" s="194"/>
      <c r="G506" s="195"/>
      <c r="H506" s="196"/>
    </row>
    <row r="507">
      <c r="A507" s="197" t="s">
        <v>216</v>
      </c>
      <c r="B507" s="198"/>
      <c r="C507" s="198"/>
      <c r="D507" s="198"/>
      <c r="E507" s="198"/>
      <c r="F507" s="199"/>
      <c r="G507" s="199"/>
      <c r="H507" s="198"/>
    </row>
    <row r="508">
      <c r="A508" s="201" t="s">
        <v>65</v>
      </c>
      <c r="B508" s="202"/>
      <c r="C508" s="202"/>
      <c r="D508" s="202"/>
      <c r="E508" s="202"/>
      <c r="F508" s="203"/>
      <c r="G508" s="203"/>
      <c r="H508" s="202"/>
    </row>
    <row r="509">
      <c r="A509" s="177" t="s">
        <v>66</v>
      </c>
      <c r="B509" s="178" t="s">
        <v>67</v>
      </c>
      <c r="C509" s="179" t="s">
        <v>68</v>
      </c>
      <c r="D509" s="179" t="s">
        <v>69</v>
      </c>
      <c r="E509" s="179" t="s">
        <v>70</v>
      </c>
      <c r="F509" s="180" t="s">
        <v>71</v>
      </c>
      <c r="G509" s="180" t="s">
        <v>72</v>
      </c>
      <c r="H509" s="179" t="s">
        <v>73</v>
      </c>
    </row>
    <row r="510">
      <c r="A510" s="182" t="s">
        <v>210</v>
      </c>
      <c r="B510" s="183" t="s">
        <v>164</v>
      </c>
      <c r="C510" s="183">
        <v>270.0</v>
      </c>
      <c r="D510" s="183">
        <v>1.0</v>
      </c>
      <c r="E510" s="183">
        <v>1.0</v>
      </c>
      <c r="F510" s="185">
        <v>1000.0</v>
      </c>
      <c r="G510" s="185">
        <f t="shared" ref="G510:G512" si="51">SUM(D510*E510*F510)</f>
        <v>1000</v>
      </c>
      <c r="H510" s="187" t="s">
        <v>218</v>
      </c>
    </row>
    <row r="511">
      <c r="A511" s="182" t="s">
        <v>84</v>
      </c>
      <c r="B511" s="183" t="s">
        <v>164</v>
      </c>
      <c r="C511" s="183">
        <v>270.0</v>
      </c>
      <c r="D511" s="183">
        <v>1.0</v>
      </c>
      <c r="E511" s="183">
        <v>1.0</v>
      </c>
      <c r="F511" s="185">
        <v>400.0</v>
      </c>
      <c r="G511" s="185">
        <f t="shared" si="51"/>
        <v>400</v>
      </c>
      <c r="H511" s="187" t="s">
        <v>214</v>
      </c>
    </row>
    <row r="512">
      <c r="A512" s="182" t="s">
        <v>163</v>
      </c>
      <c r="B512" s="183" t="s">
        <v>164</v>
      </c>
      <c r="C512" s="183">
        <v>270.0</v>
      </c>
      <c r="D512" s="183">
        <v>1.0</v>
      </c>
      <c r="E512" s="183">
        <v>1.0</v>
      </c>
      <c r="F512" s="185">
        <v>400.0</v>
      </c>
      <c r="G512" s="185">
        <f t="shared" si="51"/>
        <v>400</v>
      </c>
      <c r="H512" s="187" t="s">
        <v>219</v>
      </c>
    </row>
    <row r="513">
      <c r="A513" s="191" t="s">
        <v>93</v>
      </c>
      <c r="B513" s="12"/>
      <c r="C513" s="12"/>
      <c r="D513" s="12"/>
      <c r="E513" s="12"/>
      <c r="F513" s="12"/>
      <c r="G513" s="13"/>
      <c r="H513" s="192">
        <f>SUM(G510:G512)</f>
        <v>1800</v>
      </c>
    </row>
    <row r="514">
      <c r="A514" s="193"/>
      <c r="B514" s="194"/>
      <c r="C514" s="194"/>
      <c r="D514" s="194"/>
      <c r="E514" s="194"/>
      <c r="F514" s="194"/>
      <c r="G514" s="195"/>
      <c r="H514" s="196"/>
    </row>
    <row r="515">
      <c r="A515" s="197" t="s">
        <v>173</v>
      </c>
      <c r="B515" s="198"/>
      <c r="C515" s="198"/>
      <c r="D515" s="198"/>
      <c r="E515" s="198"/>
      <c r="F515" s="199"/>
      <c r="G515" s="199"/>
      <c r="H515" s="198"/>
    </row>
    <row r="516">
      <c r="A516" s="201" t="s">
        <v>65</v>
      </c>
      <c r="B516" s="202"/>
      <c r="C516" s="202"/>
      <c r="D516" s="202"/>
      <c r="E516" s="202"/>
      <c r="F516" s="203"/>
      <c r="G516" s="203"/>
      <c r="H516" s="202"/>
    </row>
    <row r="517">
      <c r="A517" s="177" t="s">
        <v>66</v>
      </c>
      <c r="B517" s="178" t="s">
        <v>67</v>
      </c>
      <c r="C517" s="179" t="s">
        <v>68</v>
      </c>
      <c r="D517" s="179" t="s">
        <v>69</v>
      </c>
      <c r="E517" s="179" t="s">
        <v>70</v>
      </c>
      <c r="F517" s="180" t="s">
        <v>71</v>
      </c>
      <c r="G517" s="180" t="s">
        <v>72</v>
      </c>
      <c r="H517" s="179" t="s">
        <v>73</v>
      </c>
    </row>
    <row r="518">
      <c r="A518" s="182" t="s">
        <v>210</v>
      </c>
      <c r="B518" s="183" t="s">
        <v>164</v>
      </c>
      <c r="C518" s="183">
        <v>270.0</v>
      </c>
      <c r="D518" s="183">
        <v>1.0</v>
      </c>
      <c r="E518" s="183">
        <v>1.0</v>
      </c>
      <c r="F518" s="185">
        <v>1000.0</v>
      </c>
      <c r="G518" s="185">
        <f t="shared" ref="G518:G520" si="52">SUM(D518*E518*F518)</f>
        <v>1000</v>
      </c>
      <c r="H518" s="187" t="s">
        <v>218</v>
      </c>
    </row>
    <row r="519">
      <c r="A519" s="182" t="s">
        <v>84</v>
      </c>
      <c r="B519" s="183" t="s">
        <v>164</v>
      </c>
      <c r="C519" s="183">
        <v>270.0</v>
      </c>
      <c r="D519" s="183">
        <v>1.0</v>
      </c>
      <c r="E519" s="183">
        <v>1.0</v>
      </c>
      <c r="F519" s="185">
        <v>400.0</v>
      </c>
      <c r="G519" s="185">
        <f t="shared" si="52"/>
        <v>400</v>
      </c>
      <c r="H519" s="187" t="s">
        <v>214</v>
      </c>
    </row>
    <row r="520">
      <c r="A520" s="182" t="s">
        <v>163</v>
      </c>
      <c r="B520" s="183" t="s">
        <v>164</v>
      </c>
      <c r="C520" s="183">
        <v>270.0</v>
      </c>
      <c r="D520" s="183">
        <v>1.0</v>
      </c>
      <c r="E520" s="183">
        <v>1.0</v>
      </c>
      <c r="F520" s="185">
        <v>400.0</v>
      </c>
      <c r="G520" s="185">
        <f t="shared" si="52"/>
        <v>400</v>
      </c>
      <c r="H520" s="187" t="s">
        <v>219</v>
      </c>
    </row>
    <row r="521">
      <c r="A521" s="191" t="s">
        <v>93</v>
      </c>
      <c r="B521" s="12"/>
      <c r="C521" s="12"/>
      <c r="D521" s="12"/>
      <c r="E521" s="12"/>
      <c r="F521" s="12"/>
      <c r="G521" s="13"/>
      <c r="H521" s="192">
        <f>SUM(G518:G520)</f>
        <v>1800</v>
      </c>
    </row>
    <row r="522">
      <c r="A522" s="193"/>
      <c r="B522" s="194"/>
      <c r="C522" s="194"/>
      <c r="D522" s="194"/>
      <c r="E522" s="194"/>
      <c r="F522" s="194"/>
      <c r="G522" s="195"/>
      <c r="H522" s="196"/>
    </row>
    <row r="523">
      <c r="A523" s="197" t="s">
        <v>168</v>
      </c>
      <c r="B523" s="198"/>
      <c r="C523" s="198"/>
      <c r="D523" s="198"/>
      <c r="E523" s="198"/>
      <c r="F523" s="199"/>
      <c r="G523" s="199"/>
      <c r="H523" s="198"/>
    </row>
    <row r="524">
      <c r="A524" s="201" t="s">
        <v>65</v>
      </c>
      <c r="B524" s="202"/>
      <c r="C524" s="202"/>
      <c r="D524" s="202"/>
      <c r="E524" s="202"/>
      <c r="F524" s="203"/>
      <c r="G524" s="203"/>
      <c r="H524" s="202"/>
    </row>
    <row r="525">
      <c r="A525" s="177" t="s">
        <v>66</v>
      </c>
      <c r="B525" s="178" t="s">
        <v>67</v>
      </c>
      <c r="C525" s="179" t="s">
        <v>68</v>
      </c>
      <c r="D525" s="179" t="s">
        <v>69</v>
      </c>
      <c r="E525" s="179" t="s">
        <v>70</v>
      </c>
      <c r="F525" s="180" t="s">
        <v>71</v>
      </c>
      <c r="G525" s="180" t="s">
        <v>72</v>
      </c>
      <c r="H525" s="179" t="s">
        <v>73</v>
      </c>
    </row>
    <row r="526">
      <c r="A526" s="182" t="s">
        <v>210</v>
      </c>
      <c r="B526" s="183" t="s">
        <v>164</v>
      </c>
      <c r="C526" s="183">
        <v>270.0</v>
      </c>
      <c r="D526" s="183">
        <v>1.0</v>
      </c>
      <c r="E526" s="183">
        <v>1.0</v>
      </c>
      <c r="F526" s="185">
        <v>1000.0</v>
      </c>
      <c r="G526" s="185">
        <f t="shared" ref="G526:G528" si="53">SUM(D526*E526*F526)</f>
        <v>1000</v>
      </c>
      <c r="H526" s="187" t="s">
        <v>218</v>
      </c>
    </row>
    <row r="527">
      <c r="A527" s="182" t="s">
        <v>84</v>
      </c>
      <c r="B527" s="183" t="s">
        <v>164</v>
      </c>
      <c r="C527" s="183">
        <v>270.0</v>
      </c>
      <c r="D527" s="183">
        <v>1.0</v>
      </c>
      <c r="E527" s="183">
        <v>1.0</v>
      </c>
      <c r="F527" s="185">
        <v>400.0</v>
      </c>
      <c r="G527" s="185">
        <f t="shared" si="53"/>
        <v>400</v>
      </c>
      <c r="H527" s="187" t="s">
        <v>214</v>
      </c>
    </row>
    <row r="528">
      <c r="A528" s="182" t="s">
        <v>163</v>
      </c>
      <c r="B528" s="183" t="s">
        <v>164</v>
      </c>
      <c r="C528" s="183">
        <v>270.0</v>
      </c>
      <c r="D528" s="183">
        <v>1.0</v>
      </c>
      <c r="E528" s="183">
        <v>1.0</v>
      </c>
      <c r="F528" s="185">
        <v>400.0</v>
      </c>
      <c r="G528" s="185">
        <f t="shared" si="53"/>
        <v>400</v>
      </c>
      <c r="H528" s="187" t="s">
        <v>219</v>
      </c>
    </row>
    <row r="529">
      <c r="A529" s="191" t="s">
        <v>93</v>
      </c>
      <c r="B529" s="12"/>
      <c r="C529" s="12"/>
      <c r="D529" s="12"/>
      <c r="E529" s="12"/>
      <c r="F529" s="12"/>
      <c r="G529" s="13"/>
      <c r="H529" s="192">
        <f>SUM(G526:G528)</f>
        <v>1800</v>
      </c>
    </row>
    <row r="530">
      <c r="A530" s="193"/>
      <c r="B530" s="194"/>
      <c r="C530" s="194"/>
      <c r="D530" s="194"/>
      <c r="E530" s="194"/>
      <c r="F530" s="194"/>
      <c r="G530" s="195"/>
      <c r="H530" s="196"/>
    </row>
    <row r="531">
      <c r="A531" s="197" t="s">
        <v>174</v>
      </c>
      <c r="B531" s="198"/>
      <c r="C531" s="198"/>
      <c r="D531" s="198"/>
      <c r="E531" s="198"/>
      <c r="F531" s="199"/>
      <c r="G531" s="199"/>
      <c r="H531" s="198"/>
    </row>
    <row r="532">
      <c r="A532" s="201" t="s">
        <v>65</v>
      </c>
      <c r="B532" s="202"/>
      <c r="C532" s="202"/>
      <c r="D532" s="202"/>
      <c r="E532" s="202"/>
      <c r="F532" s="203"/>
      <c r="G532" s="203"/>
      <c r="H532" s="202"/>
    </row>
    <row r="533">
      <c r="A533" s="177" t="s">
        <v>66</v>
      </c>
      <c r="B533" s="178" t="s">
        <v>67</v>
      </c>
      <c r="C533" s="179" t="s">
        <v>68</v>
      </c>
      <c r="D533" s="179" t="s">
        <v>69</v>
      </c>
      <c r="E533" s="179" t="s">
        <v>70</v>
      </c>
      <c r="F533" s="180" t="s">
        <v>71</v>
      </c>
      <c r="G533" s="180" t="s">
        <v>72</v>
      </c>
      <c r="H533" s="179" t="s">
        <v>73</v>
      </c>
    </row>
    <row r="534">
      <c r="A534" s="182" t="s">
        <v>210</v>
      </c>
      <c r="B534" s="183" t="s">
        <v>164</v>
      </c>
      <c r="C534" s="183">
        <v>270.0</v>
      </c>
      <c r="D534" s="183">
        <v>1.0</v>
      </c>
      <c r="E534" s="183">
        <v>1.0</v>
      </c>
      <c r="F534" s="185">
        <v>1000.0</v>
      </c>
      <c r="G534" s="185">
        <f t="shared" ref="G534:G536" si="54">SUM(D534*E534*F534)</f>
        <v>1000</v>
      </c>
      <c r="H534" s="187" t="s">
        <v>218</v>
      </c>
    </row>
    <row r="535">
      <c r="A535" s="182" t="s">
        <v>84</v>
      </c>
      <c r="B535" s="183" t="s">
        <v>164</v>
      </c>
      <c r="C535" s="183">
        <v>270.0</v>
      </c>
      <c r="D535" s="183">
        <v>1.0</v>
      </c>
      <c r="E535" s="183">
        <v>1.0</v>
      </c>
      <c r="F535" s="185">
        <v>400.0</v>
      </c>
      <c r="G535" s="185">
        <f t="shared" si="54"/>
        <v>400</v>
      </c>
      <c r="H535" s="187" t="s">
        <v>214</v>
      </c>
    </row>
    <row r="536">
      <c r="A536" s="182" t="s">
        <v>163</v>
      </c>
      <c r="B536" s="183" t="s">
        <v>164</v>
      </c>
      <c r="C536" s="183">
        <v>270.0</v>
      </c>
      <c r="D536" s="183">
        <v>1.0</v>
      </c>
      <c r="E536" s="183">
        <v>1.0</v>
      </c>
      <c r="F536" s="185">
        <v>400.0</v>
      </c>
      <c r="G536" s="185">
        <f t="shared" si="54"/>
        <v>400</v>
      </c>
      <c r="H536" s="187" t="s">
        <v>219</v>
      </c>
    </row>
    <row r="537">
      <c r="A537" s="191" t="s">
        <v>93</v>
      </c>
      <c r="B537" s="12"/>
      <c r="C537" s="12"/>
      <c r="D537" s="12"/>
      <c r="E537" s="12"/>
      <c r="F537" s="12"/>
      <c r="G537" s="13"/>
      <c r="H537" s="192">
        <f>SUM(G534:G536)</f>
        <v>1800</v>
      </c>
    </row>
    <row r="538">
      <c r="A538" s="193"/>
      <c r="B538" s="194"/>
      <c r="C538" s="194"/>
      <c r="D538" s="194"/>
      <c r="E538" s="194"/>
      <c r="F538" s="194"/>
      <c r="G538" s="195"/>
      <c r="H538" s="196"/>
    </row>
    <row r="539">
      <c r="A539" s="223"/>
      <c r="B539" s="224"/>
      <c r="C539" s="224"/>
      <c r="D539" s="224"/>
      <c r="E539" s="225" t="s">
        <v>147</v>
      </c>
      <c r="F539" s="12"/>
      <c r="G539" s="13"/>
      <c r="H539" s="192">
        <f>SUM(H537,H529,H521,H513,H505,H497,H489,H481,H473,H465,H456,H447,H438,H429,H420,H411,H402,H393,H384,H375,H365,H356,H347,H338,H329,H320,H311,H302,H293,H284,H273,H265,H257,H249,H241,H233,H225,H217,H209,H201,H178,H161,H144,H185,H127,H111,H95,H79,H63,H47,H31,H14)</f>
        <v>863080</v>
      </c>
    </row>
    <row r="540">
      <c r="A540" s="193"/>
      <c r="B540" s="194"/>
      <c r="C540" s="194"/>
      <c r="D540" s="194"/>
      <c r="E540" s="207"/>
      <c r="F540" s="208"/>
      <c r="G540" s="195"/>
      <c r="H540" s="196"/>
    </row>
    <row r="541">
      <c r="A541" s="226" t="s">
        <v>220</v>
      </c>
      <c r="B541" s="227"/>
      <c r="C541" s="227"/>
      <c r="D541" s="227"/>
      <c r="E541" s="227"/>
      <c r="F541" s="228"/>
      <c r="G541" s="228"/>
      <c r="H541" s="227"/>
    </row>
    <row r="542">
      <c r="A542" s="205"/>
      <c r="B542" s="13"/>
      <c r="C542" s="198"/>
      <c r="D542" s="198"/>
      <c r="E542" s="198"/>
      <c r="F542" s="199"/>
      <c r="G542" s="199"/>
      <c r="H542" s="200"/>
    </row>
    <row r="543">
      <c r="A543" s="201" t="s">
        <v>149</v>
      </c>
      <c r="B543" s="202"/>
      <c r="C543" s="202"/>
      <c r="D543" s="202"/>
      <c r="E543" s="202"/>
      <c r="F543" s="203"/>
      <c r="G543" s="203"/>
      <c r="H543" s="229"/>
    </row>
    <row r="544">
      <c r="A544" s="197" t="s">
        <v>221</v>
      </c>
      <c r="B544" s="198"/>
      <c r="C544" s="198"/>
      <c r="D544" s="198"/>
      <c r="E544" s="198"/>
      <c r="F544" s="199"/>
      <c r="G544" s="199"/>
      <c r="H544" s="198"/>
    </row>
    <row r="545">
      <c r="A545" s="177" t="s">
        <v>66</v>
      </c>
      <c r="B545" s="178" t="s">
        <v>67</v>
      </c>
      <c r="C545" s="179" t="s">
        <v>68</v>
      </c>
      <c r="D545" s="179" t="s">
        <v>69</v>
      </c>
      <c r="E545" s="179" t="s">
        <v>70</v>
      </c>
      <c r="F545" s="180" t="s">
        <v>71</v>
      </c>
      <c r="G545" s="180" t="s">
        <v>72</v>
      </c>
      <c r="H545" s="179" t="s">
        <v>73</v>
      </c>
    </row>
    <row r="546">
      <c r="A546" s="182" t="s">
        <v>57</v>
      </c>
      <c r="B546" s="183" t="s">
        <v>222</v>
      </c>
      <c r="C546" s="183">
        <v>365.0</v>
      </c>
      <c r="D546" s="183">
        <v>1.0</v>
      </c>
      <c r="E546" s="183">
        <v>1.0</v>
      </c>
      <c r="F546" s="204">
        <f>SUM(H539*15%)</f>
        <v>129462</v>
      </c>
      <c r="G546" s="185">
        <f t="shared" ref="G546:G547" si="55">SUM(F546)</f>
        <v>129462</v>
      </c>
      <c r="H546" s="186" t="s">
        <v>151</v>
      </c>
    </row>
    <row r="547">
      <c r="A547" s="188" t="s">
        <v>223</v>
      </c>
      <c r="B547" s="189" t="s">
        <v>222</v>
      </c>
      <c r="C547" s="183">
        <v>365.0</v>
      </c>
      <c r="D547" s="183">
        <v>1.0</v>
      </c>
      <c r="E547" s="183">
        <v>1.0</v>
      </c>
      <c r="F547" s="204">
        <f>SUM(H539*20%)</f>
        <v>172616</v>
      </c>
      <c r="G547" s="185">
        <f t="shared" si="55"/>
        <v>172616</v>
      </c>
      <c r="H547" s="190" t="s">
        <v>151</v>
      </c>
    </row>
    <row r="548">
      <c r="A548" s="191" t="s">
        <v>93</v>
      </c>
      <c r="B548" s="12"/>
      <c r="C548" s="12"/>
      <c r="D548" s="12"/>
      <c r="E548" s="12"/>
      <c r="F548" s="12"/>
      <c r="G548" s="13"/>
      <c r="H548" s="192">
        <f>SUM(G547,G546)</f>
        <v>302078</v>
      </c>
    </row>
    <row r="549">
      <c r="A549" s="193"/>
      <c r="B549" s="194"/>
      <c r="C549" s="194"/>
      <c r="D549" s="194"/>
      <c r="E549" s="194"/>
      <c r="F549" s="195"/>
      <c r="G549" s="195"/>
      <c r="H549" s="196"/>
    </row>
    <row r="550">
      <c r="A550" s="230"/>
      <c r="B550" s="196"/>
      <c r="C550" s="196"/>
      <c r="D550" s="196"/>
      <c r="E550" s="231" t="s">
        <v>152</v>
      </c>
      <c r="F550" s="12"/>
      <c r="G550" s="13"/>
      <c r="H550" s="192">
        <f>SUM(H548,H539)</f>
        <v>1165158</v>
      </c>
    </row>
    <row r="551">
      <c r="A551" s="232" t="s">
        <v>153</v>
      </c>
      <c r="B551" s="229"/>
      <c r="C551" s="229"/>
      <c r="D551" s="229"/>
      <c r="E551" s="202"/>
      <c r="F551" s="203"/>
      <c r="G551" s="203"/>
      <c r="H551" s="229"/>
    </row>
    <row r="552">
      <c r="A552" s="197" t="s">
        <v>221</v>
      </c>
      <c r="B552" s="198"/>
      <c r="C552" s="198"/>
      <c r="D552" s="198"/>
      <c r="E552" s="198"/>
      <c r="F552" s="199"/>
      <c r="G552" s="199"/>
      <c r="H552" s="198"/>
    </row>
    <row r="553">
      <c r="A553" s="177" t="s">
        <v>66</v>
      </c>
      <c r="B553" s="178" t="s">
        <v>67</v>
      </c>
      <c r="C553" s="179" t="s">
        <v>68</v>
      </c>
      <c r="D553" s="179" t="s">
        <v>69</v>
      </c>
      <c r="E553" s="179" t="s">
        <v>70</v>
      </c>
      <c r="F553" s="180" t="s">
        <v>71</v>
      </c>
      <c r="G553" s="180" t="s">
        <v>72</v>
      </c>
      <c r="H553" s="179" t="s">
        <v>73</v>
      </c>
    </row>
    <row r="554">
      <c r="A554" s="182" t="s">
        <v>59</v>
      </c>
      <c r="B554" s="183" t="s">
        <v>222</v>
      </c>
      <c r="C554" s="183">
        <v>365.0</v>
      </c>
      <c r="D554" s="183">
        <v>1.0</v>
      </c>
      <c r="E554" s="183">
        <v>1.0</v>
      </c>
      <c r="F554" s="204">
        <v>150000.0</v>
      </c>
      <c r="G554" s="185">
        <f>SUM(F554)</f>
        <v>150000</v>
      </c>
      <c r="H554" s="186" t="s">
        <v>151</v>
      </c>
    </row>
    <row r="555">
      <c r="A555" s="191" t="s">
        <v>93</v>
      </c>
      <c r="B555" s="12"/>
      <c r="C555" s="12"/>
      <c r="D555" s="12"/>
      <c r="E555" s="12"/>
      <c r="F555" s="12"/>
      <c r="G555" s="13"/>
      <c r="H555" s="192">
        <f>SUM(G554)</f>
        <v>150000</v>
      </c>
    </row>
    <row r="556">
      <c r="A556" s="233" t="s">
        <v>154</v>
      </c>
      <c r="B556" s="12"/>
      <c r="C556" s="12"/>
      <c r="D556" s="12"/>
      <c r="E556" s="12"/>
      <c r="F556" s="12"/>
      <c r="G556" s="12"/>
      <c r="H556" s="13"/>
    </row>
    <row r="557">
      <c r="A557" s="234">
        <f>SUM(H555,H550)</f>
        <v>1315158</v>
      </c>
      <c r="H557" s="27"/>
    </row>
    <row r="558">
      <c r="A558" s="22"/>
      <c r="H558" s="27"/>
    </row>
    <row r="559">
      <c r="A559" s="11"/>
      <c r="B559" s="12"/>
      <c r="C559" s="12"/>
      <c r="D559" s="12"/>
      <c r="E559" s="12"/>
      <c r="F559" s="12"/>
      <c r="G559" s="12"/>
      <c r="H559" s="13"/>
    </row>
    <row r="560">
      <c r="F560" s="122"/>
      <c r="G560" s="122"/>
    </row>
    <row r="561">
      <c r="F561" s="122"/>
      <c r="G561" s="122"/>
    </row>
    <row r="562">
      <c r="F562" s="122"/>
      <c r="G562" s="122"/>
    </row>
    <row r="563">
      <c r="F563" s="122"/>
      <c r="G563" s="122"/>
    </row>
    <row r="564">
      <c r="F564" s="122"/>
      <c r="G564" s="122"/>
    </row>
    <row r="565">
      <c r="F565" s="122"/>
      <c r="G565" s="122"/>
    </row>
    <row r="566">
      <c r="F566" s="122"/>
      <c r="G566" s="122"/>
    </row>
    <row r="567">
      <c r="F567" s="122"/>
      <c r="G567" s="122"/>
    </row>
    <row r="568">
      <c r="F568" s="122"/>
      <c r="G568" s="122"/>
    </row>
    <row r="569">
      <c r="F569" s="122"/>
      <c r="G569" s="122"/>
    </row>
    <row r="570">
      <c r="F570" s="122"/>
      <c r="G570" s="122"/>
    </row>
    <row r="571">
      <c r="F571" s="122"/>
      <c r="G571" s="122"/>
    </row>
    <row r="572">
      <c r="F572" s="122"/>
      <c r="G572" s="122"/>
    </row>
    <row r="573">
      <c r="F573" s="122"/>
      <c r="G573" s="122"/>
    </row>
    <row r="574">
      <c r="F574" s="122"/>
      <c r="G574" s="122"/>
    </row>
    <row r="575">
      <c r="F575" s="122"/>
      <c r="G575" s="122"/>
    </row>
    <row r="576">
      <c r="F576" s="122"/>
      <c r="G576" s="122"/>
    </row>
    <row r="577">
      <c r="F577" s="122"/>
      <c r="G577" s="122"/>
    </row>
    <row r="578">
      <c r="F578" s="122"/>
      <c r="G578" s="122"/>
    </row>
    <row r="579">
      <c r="F579" s="122"/>
      <c r="G579" s="122"/>
    </row>
    <row r="580">
      <c r="F580" s="122"/>
      <c r="G580" s="122"/>
    </row>
    <row r="581">
      <c r="F581" s="122"/>
      <c r="G581" s="122"/>
    </row>
    <row r="582">
      <c r="F582" s="122"/>
      <c r="G582" s="122"/>
    </row>
    <row r="583">
      <c r="F583" s="122"/>
      <c r="G583" s="122"/>
    </row>
    <row r="584">
      <c r="F584" s="122"/>
      <c r="G584" s="122"/>
    </row>
    <row r="585">
      <c r="F585" s="122"/>
      <c r="G585" s="122"/>
    </row>
    <row r="586">
      <c r="F586" s="122"/>
      <c r="G586" s="122"/>
    </row>
    <row r="587">
      <c r="F587" s="122"/>
      <c r="G587" s="122"/>
    </row>
    <row r="588">
      <c r="F588" s="122"/>
      <c r="G588" s="122"/>
    </row>
    <row r="589">
      <c r="F589" s="122"/>
      <c r="G589" s="122"/>
    </row>
    <row r="590">
      <c r="F590" s="122"/>
      <c r="G590" s="122"/>
    </row>
    <row r="591">
      <c r="F591" s="122"/>
      <c r="G591" s="122"/>
    </row>
    <row r="592">
      <c r="F592" s="122"/>
      <c r="G592" s="122"/>
    </row>
    <row r="593">
      <c r="F593" s="122"/>
      <c r="G593" s="122"/>
    </row>
    <row r="594">
      <c r="F594" s="122"/>
      <c r="G594" s="122"/>
    </row>
    <row r="595">
      <c r="F595" s="122"/>
      <c r="G595" s="122"/>
    </row>
    <row r="596">
      <c r="F596" s="122"/>
      <c r="G596" s="122"/>
    </row>
    <row r="597">
      <c r="F597" s="122"/>
      <c r="G597" s="122"/>
    </row>
    <row r="598">
      <c r="F598" s="122"/>
      <c r="G598" s="122"/>
    </row>
    <row r="599">
      <c r="F599" s="122"/>
      <c r="G599" s="122"/>
    </row>
    <row r="600">
      <c r="F600" s="122"/>
      <c r="G600" s="122"/>
    </row>
    <row r="601">
      <c r="F601" s="122"/>
      <c r="G601" s="122"/>
    </row>
    <row r="602">
      <c r="F602" s="122"/>
      <c r="G602" s="122"/>
    </row>
    <row r="603">
      <c r="F603" s="122"/>
      <c r="G603" s="122"/>
    </row>
    <row r="604">
      <c r="F604" s="122"/>
      <c r="G604" s="122"/>
    </row>
    <row r="605">
      <c r="F605" s="122"/>
      <c r="G605" s="122"/>
    </row>
    <row r="606">
      <c r="F606" s="122"/>
      <c r="G606" s="122"/>
    </row>
    <row r="607">
      <c r="F607" s="122"/>
      <c r="G607" s="122"/>
    </row>
    <row r="608">
      <c r="F608" s="122"/>
      <c r="G608" s="122"/>
    </row>
    <row r="609">
      <c r="F609" s="122"/>
      <c r="G609" s="122"/>
    </row>
    <row r="610">
      <c r="F610" s="122"/>
      <c r="G610" s="122"/>
    </row>
    <row r="611">
      <c r="F611" s="122"/>
      <c r="G611" s="122"/>
    </row>
    <row r="612">
      <c r="F612" s="122"/>
      <c r="G612" s="122"/>
    </row>
    <row r="613">
      <c r="F613" s="122"/>
      <c r="G613" s="122"/>
    </row>
    <row r="614">
      <c r="F614" s="122"/>
      <c r="G614" s="122"/>
    </row>
    <row r="615">
      <c r="F615" s="122"/>
      <c r="G615" s="122"/>
    </row>
    <row r="616">
      <c r="F616" s="122"/>
      <c r="G616" s="122"/>
    </row>
    <row r="617">
      <c r="F617" s="122"/>
      <c r="G617" s="122"/>
    </row>
    <row r="618">
      <c r="F618" s="122"/>
      <c r="G618" s="122"/>
    </row>
    <row r="619">
      <c r="F619" s="122"/>
      <c r="G619" s="122"/>
    </row>
    <row r="620">
      <c r="F620" s="122"/>
      <c r="G620" s="122"/>
    </row>
    <row r="621">
      <c r="F621" s="122"/>
      <c r="G621" s="122"/>
    </row>
    <row r="622">
      <c r="F622" s="122"/>
      <c r="G622" s="122"/>
    </row>
    <row r="623">
      <c r="F623" s="122"/>
      <c r="G623" s="122"/>
    </row>
    <row r="624">
      <c r="F624" s="122"/>
      <c r="G624" s="122"/>
    </row>
    <row r="625">
      <c r="F625" s="122"/>
      <c r="G625" s="122"/>
    </row>
    <row r="626">
      <c r="F626" s="122"/>
      <c r="G626" s="122"/>
    </row>
    <row r="627">
      <c r="F627" s="122"/>
      <c r="G627" s="122"/>
    </row>
    <row r="628">
      <c r="F628" s="122"/>
      <c r="G628" s="122"/>
    </row>
    <row r="629">
      <c r="F629" s="122"/>
      <c r="G629" s="122"/>
    </row>
    <row r="630">
      <c r="F630" s="122"/>
      <c r="G630" s="122"/>
    </row>
    <row r="631">
      <c r="F631" s="122"/>
      <c r="G631" s="122"/>
    </row>
    <row r="632">
      <c r="F632" s="122"/>
      <c r="G632" s="122"/>
    </row>
    <row r="633">
      <c r="F633" s="122"/>
      <c r="G633" s="122"/>
    </row>
    <row r="634">
      <c r="F634" s="122"/>
      <c r="G634" s="122"/>
    </row>
    <row r="635">
      <c r="F635" s="122"/>
      <c r="G635" s="122"/>
    </row>
    <row r="636">
      <c r="F636" s="122"/>
      <c r="G636" s="122"/>
    </row>
    <row r="637">
      <c r="F637" s="122"/>
      <c r="G637" s="122"/>
    </row>
    <row r="638">
      <c r="F638" s="122"/>
      <c r="G638" s="122"/>
    </row>
    <row r="639">
      <c r="F639" s="122"/>
      <c r="G639" s="122"/>
    </row>
    <row r="640">
      <c r="F640" s="122"/>
      <c r="G640" s="122"/>
    </row>
    <row r="641">
      <c r="F641" s="122"/>
      <c r="G641" s="122"/>
    </row>
    <row r="642">
      <c r="F642" s="122"/>
      <c r="G642" s="122"/>
    </row>
    <row r="643">
      <c r="F643" s="122"/>
      <c r="G643" s="122"/>
    </row>
    <row r="644">
      <c r="F644" s="122"/>
      <c r="G644" s="122"/>
    </row>
    <row r="645">
      <c r="F645" s="122"/>
      <c r="G645" s="122"/>
    </row>
    <row r="646">
      <c r="F646" s="122"/>
      <c r="G646" s="122"/>
    </row>
    <row r="647">
      <c r="F647" s="122"/>
      <c r="G647" s="122"/>
    </row>
    <row r="648">
      <c r="F648" s="122"/>
      <c r="G648" s="122"/>
    </row>
    <row r="649">
      <c r="F649" s="122"/>
      <c r="G649" s="122"/>
    </row>
    <row r="650">
      <c r="F650" s="122"/>
      <c r="G650" s="122"/>
    </row>
    <row r="651">
      <c r="F651" s="122"/>
      <c r="G651" s="122"/>
    </row>
    <row r="652">
      <c r="F652" s="122"/>
      <c r="G652" s="122"/>
    </row>
    <row r="653">
      <c r="F653" s="122"/>
      <c r="G653" s="122"/>
    </row>
    <row r="654">
      <c r="F654" s="122"/>
      <c r="G654" s="122"/>
    </row>
    <row r="655">
      <c r="F655" s="122"/>
      <c r="G655" s="122"/>
    </row>
    <row r="656">
      <c r="F656" s="122"/>
      <c r="G656" s="122"/>
    </row>
    <row r="657">
      <c r="F657" s="122"/>
      <c r="G657" s="122"/>
    </row>
    <row r="658">
      <c r="F658" s="122"/>
      <c r="G658" s="122"/>
    </row>
    <row r="659">
      <c r="F659" s="122"/>
      <c r="G659" s="122"/>
    </row>
    <row r="660">
      <c r="F660" s="122"/>
      <c r="G660" s="122"/>
    </row>
    <row r="661">
      <c r="F661" s="122"/>
      <c r="G661" s="122"/>
    </row>
    <row r="662">
      <c r="F662" s="122"/>
      <c r="G662" s="122"/>
    </row>
    <row r="663">
      <c r="F663" s="122"/>
      <c r="G663" s="122"/>
    </row>
    <row r="664">
      <c r="F664" s="122"/>
      <c r="G664" s="122"/>
    </row>
    <row r="665">
      <c r="F665" s="122"/>
      <c r="G665" s="122"/>
    </row>
    <row r="666">
      <c r="F666" s="122"/>
      <c r="G666" s="122"/>
    </row>
    <row r="667">
      <c r="F667" s="122"/>
      <c r="G667" s="122"/>
    </row>
    <row r="668">
      <c r="F668" s="122"/>
      <c r="G668" s="122"/>
    </row>
    <row r="669">
      <c r="F669" s="122"/>
      <c r="G669" s="122"/>
    </row>
    <row r="670">
      <c r="F670" s="122"/>
      <c r="G670" s="122"/>
    </row>
    <row r="671">
      <c r="F671" s="122"/>
      <c r="G671" s="122"/>
    </row>
    <row r="672">
      <c r="F672" s="122"/>
      <c r="G672" s="122"/>
    </row>
    <row r="673">
      <c r="F673" s="122"/>
      <c r="G673" s="122"/>
    </row>
    <row r="674">
      <c r="F674" s="122"/>
      <c r="G674" s="122"/>
    </row>
    <row r="675">
      <c r="F675" s="122"/>
      <c r="G675" s="122"/>
    </row>
    <row r="676">
      <c r="F676" s="122"/>
      <c r="G676" s="122"/>
    </row>
    <row r="677">
      <c r="F677" s="122"/>
      <c r="G677" s="122"/>
    </row>
    <row r="678">
      <c r="F678" s="122"/>
      <c r="G678" s="122"/>
    </row>
    <row r="679">
      <c r="F679" s="122"/>
      <c r="G679" s="122"/>
    </row>
    <row r="680">
      <c r="F680" s="122"/>
      <c r="G680" s="122"/>
    </row>
    <row r="681">
      <c r="F681" s="122"/>
      <c r="G681" s="122"/>
    </row>
    <row r="682">
      <c r="F682" s="122"/>
      <c r="G682" s="122"/>
    </row>
    <row r="683">
      <c r="F683" s="122"/>
      <c r="G683" s="122"/>
    </row>
    <row r="684">
      <c r="F684" s="122"/>
      <c r="G684" s="122"/>
    </row>
    <row r="685">
      <c r="F685" s="122"/>
      <c r="G685" s="122"/>
    </row>
    <row r="686">
      <c r="F686" s="122"/>
      <c r="G686" s="122"/>
    </row>
    <row r="687">
      <c r="F687" s="122"/>
      <c r="G687" s="122"/>
    </row>
    <row r="688">
      <c r="F688" s="122"/>
      <c r="G688" s="122"/>
    </row>
    <row r="689">
      <c r="F689" s="122"/>
      <c r="G689" s="122"/>
    </row>
    <row r="690">
      <c r="F690" s="122"/>
      <c r="G690" s="122"/>
    </row>
    <row r="691">
      <c r="F691" s="122"/>
      <c r="G691" s="122"/>
    </row>
    <row r="692">
      <c r="F692" s="122"/>
      <c r="G692" s="122"/>
    </row>
    <row r="693">
      <c r="F693" s="122"/>
      <c r="G693" s="122"/>
    </row>
    <row r="694">
      <c r="F694" s="122"/>
      <c r="G694" s="122"/>
    </row>
    <row r="695">
      <c r="F695" s="122"/>
      <c r="G695" s="122"/>
    </row>
    <row r="696">
      <c r="F696" s="122"/>
      <c r="G696" s="122"/>
    </row>
    <row r="697">
      <c r="F697" s="122"/>
      <c r="G697" s="122"/>
    </row>
    <row r="698">
      <c r="F698" s="122"/>
      <c r="G698" s="122"/>
    </row>
    <row r="699">
      <c r="F699" s="122"/>
      <c r="G699" s="122"/>
    </row>
    <row r="700">
      <c r="F700" s="122"/>
      <c r="G700" s="122"/>
    </row>
    <row r="701">
      <c r="F701" s="122"/>
      <c r="G701" s="122"/>
    </row>
    <row r="702">
      <c r="F702" s="122"/>
      <c r="G702" s="122"/>
    </row>
    <row r="703">
      <c r="F703" s="122"/>
      <c r="G703" s="122"/>
    </row>
    <row r="704">
      <c r="F704" s="122"/>
      <c r="G704" s="122"/>
    </row>
    <row r="705">
      <c r="F705" s="122"/>
      <c r="G705" s="122"/>
    </row>
    <row r="706">
      <c r="F706" s="122"/>
      <c r="G706" s="122"/>
    </row>
    <row r="707">
      <c r="F707" s="122"/>
      <c r="G707" s="122"/>
    </row>
    <row r="708">
      <c r="F708" s="122"/>
      <c r="G708" s="122"/>
    </row>
    <row r="709">
      <c r="F709" s="122"/>
      <c r="G709" s="122"/>
    </row>
    <row r="710">
      <c r="F710" s="122"/>
      <c r="G710" s="122"/>
    </row>
    <row r="711">
      <c r="F711" s="122"/>
      <c r="G711" s="122"/>
    </row>
    <row r="712">
      <c r="F712" s="122"/>
      <c r="G712" s="122"/>
    </row>
    <row r="713">
      <c r="F713" s="122"/>
      <c r="G713" s="122"/>
    </row>
    <row r="714">
      <c r="F714" s="122"/>
      <c r="G714" s="122"/>
    </row>
    <row r="715">
      <c r="F715" s="122"/>
      <c r="G715" s="122"/>
    </row>
    <row r="716">
      <c r="F716" s="122"/>
      <c r="G716" s="122"/>
    </row>
    <row r="717">
      <c r="F717" s="122"/>
      <c r="G717" s="122"/>
    </row>
    <row r="718">
      <c r="F718" s="122"/>
      <c r="G718" s="122"/>
    </row>
    <row r="719">
      <c r="F719" s="122"/>
      <c r="G719" s="122"/>
    </row>
    <row r="720">
      <c r="F720" s="122"/>
      <c r="G720" s="122"/>
    </row>
    <row r="721">
      <c r="F721" s="122"/>
      <c r="G721" s="122"/>
    </row>
    <row r="722">
      <c r="F722" s="122"/>
      <c r="G722" s="122"/>
    </row>
    <row r="723">
      <c r="F723" s="122"/>
      <c r="G723" s="122"/>
    </row>
    <row r="724">
      <c r="F724" s="122"/>
      <c r="G724" s="122"/>
    </row>
    <row r="725">
      <c r="F725" s="122"/>
      <c r="G725" s="122"/>
    </row>
    <row r="726">
      <c r="F726" s="122"/>
      <c r="G726" s="122"/>
    </row>
    <row r="727">
      <c r="F727" s="122"/>
      <c r="G727" s="122"/>
    </row>
    <row r="728">
      <c r="F728" s="122"/>
      <c r="G728" s="122"/>
    </row>
    <row r="729">
      <c r="F729" s="122"/>
      <c r="G729" s="122"/>
    </row>
    <row r="730">
      <c r="F730" s="122"/>
      <c r="G730" s="122"/>
    </row>
    <row r="731">
      <c r="F731" s="122"/>
      <c r="G731" s="122"/>
    </row>
    <row r="732">
      <c r="F732" s="122"/>
      <c r="G732" s="122"/>
    </row>
    <row r="733">
      <c r="F733" s="122"/>
      <c r="G733" s="122"/>
    </row>
    <row r="734">
      <c r="F734" s="122"/>
      <c r="G734" s="122"/>
    </row>
    <row r="735">
      <c r="F735" s="122"/>
      <c r="G735" s="122"/>
    </row>
    <row r="736">
      <c r="F736" s="122"/>
      <c r="G736" s="122"/>
    </row>
    <row r="737">
      <c r="F737" s="122"/>
      <c r="G737" s="122"/>
    </row>
    <row r="738">
      <c r="F738" s="122"/>
      <c r="G738" s="122"/>
    </row>
    <row r="739">
      <c r="F739" s="122"/>
      <c r="G739" s="122"/>
    </row>
    <row r="740">
      <c r="F740" s="122"/>
      <c r="G740" s="122"/>
    </row>
    <row r="741">
      <c r="F741" s="122"/>
      <c r="G741" s="122"/>
    </row>
    <row r="742">
      <c r="F742" s="122"/>
      <c r="G742" s="122"/>
    </row>
    <row r="743">
      <c r="F743" s="122"/>
      <c r="G743" s="122"/>
    </row>
    <row r="744">
      <c r="F744" s="122"/>
      <c r="G744" s="122"/>
    </row>
    <row r="745">
      <c r="F745" s="122"/>
      <c r="G745" s="122"/>
    </row>
    <row r="746">
      <c r="F746" s="122"/>
      <c r="G746" s="122"/>
    </row>
    <row r="747">
      <c r="F747" s="122"/>
      <c r="G747" s="122"/>
    </row>
    <row r="748">
      <c r="F748" s="122"/>
      <c r="G748" s="122"/>
    </row>
    <row r="749">
      <c r="F749" s="122"/>
      <c r="G749" s="122"/>
    </row>
    <row r="750">
      <c r="F750" s="122"/>
      <c r="G750" s="122"/>
    </row>
    <row r="751">
      <c r="F751" s="122"/>
      <c r="G751" s="122"/>
    </row>
    <row r="752">
      <c r="F752" s="122"/>
      <c r="G752" s="122"/>
    </row>
    <row r="753">
      <c r="F753" s="122"/>
      <c r="G753" s="122"/>
    </row>
    <row r="754">
      <c r="F754" s="122"/>
      <c r="G754" s="122"/>
    </row>
    <row r="755">
      <c r="F755" s="122"/>
      <c r="G755" s="122"/>
    </row>
    <row r="756">
      <c r="F756" s="122"/>
      <c r="G756" s="122"/>
    </row>
    <row r="757">
      <c r="F757" s="122"/>
      <c r="G757" s="122"/>
    </row>
    <row r="758">
      <c r="F758" s="122"/>
      <c r="G758" s="122"/>
    </row>
    <row r="759">
      <c r="F759" s="122"/>
      <c r="G759" s="122"/>
    </row>
    <row r="760">
      <c r="F760" s="122"/>
      <c r="G760" s="122"/>
    </row>
    <row r="761">
      <c r="F761" s="122"/>
      <c r="G761" s="122"/>
    </row>
    <row r="762">
      <c r="F762" s="122"/>
      <c r="G762" s="122"/>
    </row>
    <row r="763">
      <c r="F763" s="122"/>
      <c r="G763" s="122"/>
    </row>
    <row r="764">
      <c r="F764" s="122"/>
      <c r="G764" s="122"/>
    </row>
    <row r="765">
      <c r="F765" s="122"/>
      <c r="G765" s="122"/>
    </row>
    <row r="766">
      <c r="F766" s="122"/>
      <c r="G766" s="122"/>
    </row>
    <row r="767">
      <c r="F767" s="122"/>
      <c r="G767" s="122"/>
    </row>
    <row r="768">
      <c r="F768" s="122"/>
      <c r="G768" s="122"/>
    </row>
    <row r="769">
      <c r="F769" s="122"/>
      <c r="G769" s="122"/>
    </row>
    <row r="770">
      <c r="F770" s="122"/>
      <c r="G770" s="122"/>
    </row>
    <row r="771">
      <c r="F771" s="122"/>
      <c r="G771" s="122"/>
    </row>
    <row r="772">
      <c r="F772" s="122"/>
      <c r="G772" s="122"/>
    </row>
    <row r="773">
      <c r="F773" s="122"/>
      <c r="G773" s="122"/>
    </row>
    <row r="774">
      <c r="F774" s="122"/>
      <c r="G774" s="122"/>
    </row>
    <row r="775">
      <c r="F775" s="122"/>
      <c r="G775" s="122"/>
    </row>
    <row r="776">
      <c r="F776" s="122"/>
      <c r="G776" s="122"/>
    </row>
    <row r="777">
      <c r="F777" s="122"/>
      <c r="G777" s="122"/>
    </row>
    <row r="778">
      <c r="F778" s="122"/>
      <c r="G778" s="122"/>
    </row>
    <row r="779">
      <c r="F779" s="122"/>
      <c r="G779" s="122"/>
    </row>
    <row r="780">
      <c r="F780" s="122"/>
      <c r="G780" s="122"/>
    </row>
    <row r="781">
      <c r="F781" s="122"/>
      <c r="G781" s="122"/>
    </row>
    <row r="782">
      <c r="F782" s="122"/>
      <c r="G782" s="122"/>
    </row>
    <row r="783">
      <c r="F783" s="122"/>
      <c r="G783" s="122"/>
    </row>
    <row r="784">
      <c r="F784" s="122"/>
      <c r="G784" s="122"/>
    </row>
    <row r="785">
      <c r="F785" s="122"/>
      <c r="G785" s="122"/>
    </row>
    <row r="786">
      <c r="F786" s="122"/>
      <c r="G786" s="122"/>
    </row>
    <row r="787">
      <c r="F787" s="122"/>
      <c r="G787" s="122"/>
    </row>
    <row r="788">
      <c r="F788" s="122"/>
      <c r="G788" s="122"/>
    </row>
    <row r="789">
      <c r="F789" s="122"/>
      <c r="G789" s="122"/>
    </row>
    <row r="790">
      <c r="F790" s="122"/>
      <c r="G790" s="122"/>
    </row>
    <row r="791">
      <c r="F791" s="122"/>
      <c r="G791" s="122"/>
    </row>
    <row r="792">
      <c r="F792" s="122"/>
      <c r="G792" s="122"/>
    </row>
    <row r="793">
      <c r="F793" s="122"/>
      <c r="G793" s="122"/>
    </row>
    <row r="794">
      <c r="F794" s="122"/>
      <c r="G794" s="122"/>
    </row>
    <row r="795">
      <c r="F795" s="122"/>
      <c r="G795" s="122"/>
    </row>
    <row r="796">
      <c r="F796" s="122"/>
      <c r="G796" s="122"/>
    </row>
    <row r="797">
      <c r="F797" s="122"/>
      <c r="G797" s="122"/>
    </row>
    <row r="798">
      <c r="F798" s="122"/>
      <c r="G798" s="122"/>
    </row>
    <row r="799">
      <c r="F799" s="122"/>
      <c r="G799" s="122"/>
    </row>
    <row r="800">
      <c r="F800" s="122"/>
      <c r="G800" s="122"/>
    </row>
    <row r="801">
      <c r="F801" s="122"/>
      <c r="G801" s="122"/>
    </row>
    <row r="802">
      <c r="F802" s="122"/>
      <c r="G802" s="122"/>
    </row>
    <row r="803">
      <c r="F803" s="122"/>
      <c r="G803" s="122"/>
    </row>
    <row r="804">
      <c r="F804" s="122"/>
      <c r="G804" s="122"/>
    </row>
    <row r="805">
      <c r="F805" s="122"/>
      <c r="G805" s="122"/>
    </row>
    <row r="806">
      <c r="F806" s="122"/>
      <c r="G806" s="122"/>
    </row>
    <row r="807">
      <c r="F807" s="122"/>
      <c r="G807" s="122"/>
    </row>
    <row r="808">
      <c r="F808" s="122"/>
      <c r="G808" s="122"/>
    </row>
    <row r="809">
      <c r="F809" s="122"/>
      <c r="G809" s="122"/>
    </row>
    <row r="810">
      <c r="F810" s="122"/>
      <c r="G810" s="122"/>
    </row>
    <row r="811">
      <c r="F811" s="122"/>
      <c r="G811" s="122"/>
    </row>
    <row r="812">
      <c r="F812" s="122"/>
      <c r="G812" s="122"/>
    </row>
    <row r="813">
      <c r="F813" s="122"/>
      <c r="G813" s="122"/>
    </row>
    <row r="814">
      <c r="F814" s="122"/>
      <c r="G814" s="122"/>
    </row>
    <row r="815">
      <c r="F815" s="122"/>
      <c r="G815" s="122"/>
    </row>
    <row r="816">
      <c r="F816" s="122"/>
      <c r="G816" s="122"/>
    </row>
    <row r="817">
      <c r="F817" s="122"/>
      <c r="G817" s="122"/>
    </row>
    <row r="818">
      <c r="F818" s="122"/>
      <c r="G818" s="122"/>
    </row>
    <row r="819">
      <c r="F819" s="122"/>
      <c r="G819" s="122"/>
    </row>
    <row r="820">
      <c r="F820" s="122"/>
      <c r="G820" s="122"/>
    </row>
    <row r="821">
      <c r="F821" s="122"/>
      <c r="G821" s="122"/>
    </row>
    <row r="822">
      <c r="F822" s="122"/>
      <c r="G822" s="122"/>
    </row>
    <row r="823">
      <c r="F823" s="122"/>
      <c r="G823" s="122"/>
    </row>
    <row r="824">
      <c r="F824" s="122"/>
      <c r="G824" s="122"/>
    </row>
    <row r="825">
      <c r="F825" s="122"/>
      <c r="G825" s="122"/>
    </row>
    <row r="826">
      <c r="F826" s="122"/>
      <c r="G826" s="122"/>
    </row>
    <row r="827">
      <c r="F827" s="122"/>
      <c r="G827" s="122"/>
    </row>
    <row r="828">
      <c r="F828" s="122"/>
      <c r="G828" s="122"/>
    </row>
    <row r="829">
      <c r="F829" s="122"/>
      <c r="G829" s="122"/>
    </row>
    <row r="830">
      <c r="F830" s="122"/>
      <c r="G830" s="122"/>
    </row>
    <row r="831">
      <c r="F831" s="122"/>
      <c r="G831" s="122"/>
    </row>
    <row r="832">
      <c r="F832" s="122"/>
      <c r="G832" s="122"/>
    </row>
    <row r="833">
      <c r="F833" s="122"/>
      <c r="G833" s="122"/>
    </row>
    <row r="834">
      <c r="F834" s="122"/>
      <c r="G834" s="122"/>
    </row>
    <row r="835">
      <c r="F835" s="122"/>
      <c r="G835" s="122"/>
    </row>
    <row r="836">
      <c r="F836" s="122"/>
      <c r="G836" s="122"/>
    </row>
    <row r="837">
      <c r="F837" s="122"/>
      <c r="G837" s="122"/>
    </row>
    <row r="838">
      <c r="F838" s="122"/>
      <c r="G838" s="122"/>
    </row>
    <row r="839">
      <c r="F839" s="122"/>
      <c r="G839" s="122"/>
    </row>
    <row r="840">
      <c r="F840" s="122"/>
      <c r="G840" s="122"/>
    </row>
    <row r="841">
      <c r="F841" s="122"/>
      <c r="G841" s="122"/>
    </row>
    <row r="842">
      <c r="F842" s="122"/>
      <c r="G842" s="122"/>
    </row>
    <row r="843">
      <c r="F843" s="122"/>
      <c r="G843" s="122"/>
    </row>
    <row r="844">
      <c r="F844" s="122"/>
      <c r="G844" s="122"/>
    </row>
    <row r="845">
      <c r="F845" s="122"/>
      <c r="G845" s="122"/>
    </row>
    <row r="846">
      <c r="F846" s="122"/>
      <c r="G846" s="122"/>
    </row>
    <row r="847">
      <c r="F847" s="122"/>
      <c r="G847" s="122"/>
    </row>
    <row r="848">
      <c r="F848" s="122"/>
      <c r="G848" s="122"/>
    </row>
    <row r="849">
      <c r="F849" s="122"/>
      <c r="G849" s="122"/>
    </row>
    <row r="850">
      <c r="F850" s="122"/>
      <c r="G850" s="122"/>
    </row>
    <row r="851">
      <c r="F851" s="122"/>
      <c r="G851" s="122"/>
    </row>
    <row r="852">
      <c r="F852" s="122"/>
      <c r="G852" s="122"/>
    </row>
    <row r="853">
      <c r="F853" s="122"/>
      <c r="G853" s="122"/>
    </row>
    <row r="854">
      <c r="F854" s="122"/>
      <c r="G854" s="122"/>
    </row>
    <row r="855">
      <c r="F855" s="122"/>
      <c r="G855" s="122"/>
    </row>
    <row r="856">
      <c r="F856" s="122"/>
      <c r="G856" s="122"/>
    </row>
    <row r="857">
      <c r="F857" s="122"/>
      <c r="G857" s="122"/>
    </row>
    <row r="858">
      <c r="F858" s="122"/>
      <c r="G858" s="122"/>
    </row>
    <row r="859">
      <c r="F859" s="122"/>
      <c r="G859" s="122"/>
    </row>
    <row r="860">
      <c r="F860" s="122"/>
      <c r="G860" s="122"/>
    </row>
    <row r="861">
      <c r="F861" s="122"/>
      <c r="G861" s="122"/>
    </row>
    <row r="862">
      <c r="F862" s="122"/>
      <c r="G862" s="122"/>
    </row>
    <row r="863">
      <c r="F863" s="122"/>
      <c r="G863" s="122"/>
    </row>
    <row r="864">
      <c r="F864" s="122"/>
      <c r="G864" s="122"/>
    </row>
    <row r="865">
      <c r="F865" s="122"/>
      <c r="G865" s="122"/>
    </row>
    <row r="866">
      <c r="F866" s="122"/>
      <c r="G866" s="122"/>
    </row>
    <row r="867">
      <c r="F867" s="122"/>
      <c r="G867" s="122"/>
    </row>
    <row r="868">
      <c r="F868" s="122"/>
      <c r="G868" s="122"/>
    </row>
    <row r="869">
      <c r="F869" s="122"/>
      <c r="G869" s="122"/>
    </row>
    <row r="870">
      <c r="F870" s="122"/>
      <c r="G870" s="122"/>
    </row>
    <row r="871">
      <c r="F871" s="122"/>
      <c r="G871" s="122"/>
    </row>
    <row r="872">
      <c r="F872" s="122"/>
      <c r="G872" s="122"/>
    </row>
    <row r="873">
      <c r="F873" s="122"/>
      <c r="G873" s="122"/>
    </row>
    <row r="874">
      <c r="F874" s="122"/>
      <c r="G874" s="122"/>
    </row>
    <row r="875">
      <c r="F875" s="122"/>
      <c r="G875" s="122"/>
    </row>
    <row r="876">
      <c r="F876" s="122"/>
      <c r="G876" s="122"/>
    </row>
    <row r="877">
      <c r="F877" s="122"/>
      <c r="G877" s="122"/>
    </row>
    <row r="878">
      <c r="F878" s="122"/>
      <c r="G878" s="122"/>
    </row>
    <row r="879">
      <c r="F879" s="122"/>
      <c r="G879" s="122"/>
    </row>
    <row r="880">
      <c r="F880" s="122"/>
      <c r="G880" s="122"/>
    </row>
    <row r="881">
      <c r="F881" s="122"/>
      <c r="G881" s="122"/>
    </row>
    <row r="882">
      <c r="F882" s="122"/>
      <c r="G882" s="122"/>
    </row>
    <row r="883">
      <c r="F883" s="122"/>
      <c r="G883" s="122"/>
    </row>
    <row r="884">
      <c r="F884" s="122"/>
      <c r="G884" s="122"/>
    </row>
    <row r="885">
      <c r="F885" s="122"/>
      <c r="G885" s="122"/>
    </row>
    <row r="886">
      <c r="F886" s="122"/>
      <c r="G886" s="122"/>
    </row>
    <row r="887">
      <c r="F887" s="122"/>
      <c r="G887" s="122"/>
    </row>
    <row r="888">
      <c r="F888" s="122"/>
      <c r="G888" s="122"/>
    </row>
    <row r="889">
      <c r="F889" s="122"/>
      <c r="G889" s="122"/>
    </row>
    <row r="890">
      <c r="F890" s="122"/>
      <c r="G890" s="122"/>
    </row>
    <row r="891">
      <c r="F891" s="122"/>
      <c r="G891" s="122"/>
    </row>
    <row r="892">
      <c r="F892" s="122"/>
      <c r="G892" s="122"/>
    </row>
    <row r="893">
      <c r="F893" s="122"/>
      <c r="G893" s="122"/>
    </row>
    <row r="894">
      <c r="F894" s="122"/>
      <c r="G894" s="122"/>
    </row>
    <row r="895">
      <c r="F895" s="122"/>
      <c r="G895" s="122"/>
    </row>
    <row r="896">
      <c r="F896" s="122"/>
      <c r="G896" s="122"/>
    </row>
    <row r="897">
      <c r="F897" s="122"/>
      <c r="G897" s="122"/>
    </row>
    <row r="898">
      <c r="F898" s="122"/>
      <c r="G898" s="122"/>
    </row>
    <row r="899">
      <c r="F899" s="122"/>
      <c r="G899" s="122"/>
    </row>
    <row r="900">
      <c r="F900" s="122"/>
      <c r="G900" s="122"/>
    </row>
    <row r="901">
      <c r="F901" s="122"/>
      <c r="G901" s="122"/>
    </row>
    <row r="902">
      <c r="F902" s="122"/>
      <c r="G902" s="122"/>
    </row>
    <row r="903">
      <c r="F903" s="122"/>
      <c r="G903" s="122"/>
    </row>
    <row r="904">
      <c r="F904" s="122"/>
      <c r="G904" s="122"/>
    </row>
    <row r="905">
      <c r="F905" s="122"/>
      <c r="G905" s="122"/>
    </row>
    <row r="906">
      <c r="F906" s="122"/>
      <c r="G906" s="122"/>
    </row>
    <row r="907">
      <c r="F907" s="122"/>
      <c r="G907" s="122"/>
    </row>
    <row r="908">
      <c r="F908" s="122"/>
      <c r="G908" s="122"/>
    </row>
    <row r="909">
      <c r="F909" s="122"/>
      <c r="G909" s="122"/>
    </row>
    <row r="910">
      <c r="F910" s="122"/>
      <c r="G910" s="122"/>
    </row>
    <row r="911">
      <c r="F911" s="122"/>
      <c r="G911" s="122"/>
    </row>
    <row r="912">
      <c r="F912" s="122"/>
      <c r="G912" s="122"/>
    </row>
    <row r="913">
      <c r="F913" s="122"/>
      <c r="G913" s="122"/>
    </row>
    <row r="914">
      <c r="F914" s="122"/>
      <c r="G914" s="122"/>
    </row>
    <row r="915">
      <c r="F915" s="122"/>
      <c r="G915" s="122"/>
    </row>
    <row r="916">
      <c r="F916" s="122"/>
      <c r="G916" s="122"/>
    </row>
    <row r="917">
      <c r="F917" s="122"/>
      <c r="G917" s="122"/>
    </row>
    <row r="918">
      <c r="F918" s="122"/>
      <c r="G918" s="122"/>
    </row>
    <row r="919">
      <c r="F919" s="122"/>
      <c r="G919" s="122"/>
    </row>
    <row r="920">
      <c r="F920" s="122"/>
      <c r="G920" s="122"/>
    </row>
    <row r="921">
      <c r="F921" s="122"/>
      <c r="G921" s="122"/>
    </row>
    <row r="922">
      <c r="F922" s="122"/>
      <c r="G922" s="122"/>
    </row>
    <row r="923">
      <c r="F923" s="122"/>
      <c r="G923" s="122"/>
    </row>
    <row r="924">
      <c r="F924" s="122"/>
      <c r="G924" s="122"/>
    </row>
    <row r="925">
      <c r="F925" s="122"/>
      <c r="G925" s="122"/>
    </row>
    <row r="926">
      <c r="F926" s="122"/>
      <c r="G926" s="122"/>
    </row>
    <row r="927">
      <c r="F927" s="122"/>
      <c r="G927" s="122"/>
    </row>
    <row r="928">
      <c r="F928" s="122"/>
      <c r="G928" s="122"/>
    </row>
    <row r="929">
      <c r="F929" s="122"/>
      <c r="G929" s="122"/>
    </row>
    <row r="930">
      <c r="F930" s="122"/>
      <c r="G930" s="122"/>
    </row>
    <row r="931">
      <c r="F931" s="122"/>
      <c r="G931" s="122"/>
    </row>
    <row r="932">
      <c r="F932" s="122"/>
      <c r="G932" s="122"/>
    </row>
    <row r="933">
      <c r="F933" s="122"/>
      <c r="G933" s="122"/>
    </row>
    <row r="934">
      <c r="F934" s="122"/>
      <c r="G934" s="122"/>
    </row>
    <row r="935">
      <c r="F935" s="122"/>
      <c r="G935" s="122"/>
    </row>
    <row r="936">
      <c r="F936" s="122"/>
      <c r="G936" s="122"/>
    </row>
    <row r="937">
      <c r="F937" s="122"/>
      <c r="G937" s="122"/>
    </row>
    <row r="938">
      <c r="F938" s="122"/>
      <c r="G938" s="122"/>
    </row>
    <row r="939">
      <c r="F939" s="122"/>
      <c r="G939" s="122"/>
    </row>
    <row r="940">
      <c r="F940" s="122"/>
      <c r="G940" s="122"/>
    </row>
    <row r="941">
      <c r="F941" s="122"/>
      <c r="G941" s="122"/>
    </row>
    <row r="942">
      <c r="F942" s="122"/>
      <c r="G942" s="122"/>
    </row>
    <row r="943">
      <c r="F943" s="122"/>
      <c r="G943" s="122"/>
    </row>
    <row r="944">
      <c r="F944" s="122"/>
      <c r="G944" s="122"/>
    </row>
    <row r="945">
      <c r="F945" s="122"/>
      <c r="G945" s="122"/>
    </row>
    <row r="946">
      <c r="F946" s="122"/>
      <c r="G946" s="122"/>
    </row>
    <row r="947">
      <c r="F947" s="122"/>
      <c r="G947" s="122"/>
    </row>
    <row r="948">
      <c r="F948" s="122"/>
      <c r="G948" s="122"/>
    </row>
    <row r="949">
      <c r="F949" s="122"/>
      <c r="G949" s="122"/>
    </row>
    <row r="950">
      <c r="F950" s="122"/>
      <c r="G950" s="122"/>
    </row>
    <row r="951">
      <c r="F951" s="122"/>
      <c r="G951" s="122"/>
    </row>
    <row r="952">
      <c r="F952" s="122"/>
      <c r="G952" s="122"/>
    </row>
    <row r="953">
      <c r="F953" s="122"/>
      <c r="G953" s="122"/>
    </row>
    <row r="954">
      <c r="F954" s="122"/>
      <c r="G954" s="122"/>
    </row>
    <row r="955">
      <c r="F955" s="122"/>
      <c r="G955" s="122"/>
    </row>
    <row r="956">
      <c r="F956" s="122"/>
      <c r="G956" s="122"/>
    </row>
    <row r="957">
      <c r="F957" s="122"/>
      <c r="G957" s="122"/>
    </row>
    <row r="958">
      <c r="F958" s="122"/>
      <c r="G958" s="122"/>
    </row>
    <row r="959">
      <c r="F959" s="122"/>
      <c r="G959" s="122"/>
    </row>
    <row r="960">
      <c r="F960" s="122"/>
      <c r="G960" s="122"/>
    </row>
    <row r="961">
      <c r="F961" s="122"/>
      <c r="G961" s="122"/>
    </row>
    <row r="962">
      <c r="F962" s="122"/>
      <c r="G962" s="122"/>
    </row>
    <row r="963">
      <c r="F963" s="122"/>
      <c r="G963" s="122"/>
    </row>
    <row r="964">
      <c r="F964" s="122"/>
      <c r="G964" s="122"/>
    </row>
    <row r="965">
      <c r="F965" s="122"/>
      <c r="G965" s="122"/>
    </row>
    <row r="966">
      <c r="F966" s="122"/>
      <c r="G966" s="122"/>
    </row>
    <row r="967">
      <c r="F967" s="122"/>
      <c r="G967" s="122"/>
    </row>
    <row r="968">
      <c r="F968" s="122"/>
      <c r="G968" s="122"/>
    </row>
    <row r="969">
      <c r="F969" s="122"/>
      <c r="G969" s="122"/>
    </row>
    <row r="970">
      <c r="F970" s="122"/>
      <c r="G970" s="122"/>
    </row>
    <row r="971">
      <c r="F971" s="122"/>
      <c r="G971" s="122"/>
    </row>
    <row r="972">
      <c r="F972" s="122"/>
      <c r="G972" s="122"/>
    </row>
    <row r="973">
      <c r="F973" s="122"/>
      <c r="G973" s="122"/>
    </row>
    <row r="974">
      <c r="F974" s="122"/>
      <c r="G974" s="122"/>
    </row>
    <row r="975">
      <c r="F975" s="122"/>
      <c r="G975" s="122"/>
    </row>
    <row r="976">
      <c r="F976" s="122"/>
      <c r="G976" s="122"/>
    </row>
    <row r="977">
      <c r="F977" s="122"/>
      <c r="G977" s="122"/>
    </row>
    <row r="978">
      <c r="F978" s="122"/>
      <c r="G978" s="122"/>
    </row>
    <row r="979">
      <c r="F979" s="122"/>
      <c r="G979" s="122"/>
    </row>
    <row r="980">
      <c r="F980" s="122"/>
      <c r="G980" s="122"/>
    </row>
    <row r="981">
      <c r="F981" s="122"/>
      <c r="G981" s="122"/>
    </row>
    <row r="982">
      <c r="F982" s="122"/>
      <c r="G982" s="122"/>
    </row>
    <row r="983">
      <c r="F983" s="122"/>
      <c r="G983" s="122"/>
    </row>
    <row r="984">
      <c r="F984" s="122"/>
      <c r="G984" s="122"/>
    </row>
    <row r="985">
      <c r="F985" s="122"/>
      <c r="G985" s="122"/>
    </row>
    <row r="986">
      <c r="F986" s="122"/>
      <c r="G986" s="122"/>
    </row>
    <row r="987">
      <c r="F987" s="122"/>
      <c r="G987" s="122"/>
    </row>
    <row r="988">
      <c r="F988" s="122"/>
      <c r="G988" s="122"/>
    </row>
    <row r="989">
      <c r="F989" s="122"/>
      <c r="G989" s="122"/>
    </row>
    <row r="990">
      <c r="F990" s="122"/>
      <c r="G990" s="122"/>
    </row>
    <row r="991">
      <c r="F991" s="122"/>
      <c r="G991" s="122"/>
    </row>
    <row r="992">
      <c r="F992" s="122"/>
      <c r="G992" s="122"/>
    </row>
    <row r="993">
      <c r="F993" s="122"/>
      <c r="G993" s="122"/>
    </row>
    <row r="994">
      <c r="F994" s="122"/>
      <c r="G994" s="122"/>
    </row>
    <row r="995">
      <c r="F995" s="122"/>
      <c r="G995" s="122"/>
    </row>
    <row r="996">
      <c r="F996" s="122"/>
      <c r="G996" s="122"/>
    </row>
    <row r="997">
      <c r="F997" s="122"/>
      <c r="G997" s="122"/>
    </row>
    <row r="998">
      <c r="F998" s="122"/>
      <c r="G998" s="122"/>
    </row>
    <row r="999">
      <c r="F999" s="122"/>
      <c r="G999" s="122"/>
    </row>
    <row r="1000">
      <c r="F1000" s="122"/>
      <c r="G1000" s="122"/>
    </row>
    <row r="1001">
      <c r="F1001" s="122"/>
      <c r="G1001" s="122"/>
    </row>
    <row r="1002">
      <c r="F1002" s="122"/>
      <c r="G1002" s="122"/>
    </row>
    <row r="1003">
      <c r="F1003" s="122"/>
      <c r="G1003" s="122"/>
    </row>
    <row r="1004">
      <c r="F1004" s="122"/>
      <c r="G1004" s="122"/>
    </row>
    <row r="1005">
      <c r="F1005" s="122"/>
      <c r="G1005" s="122"/>
    </row>
    <row r="1006">
      <c r="F1006" s="122"/>
      <c r="G1006" s="122"/>
    </row>
    <row r="1007">
      <c r="F1007" s="122"/>
      <c r="G1007" s="122"/>
    </row>
    <row r="1008">
      <c r="F1008" s="122"/>
      <c r="G1008" s="122"/>
    </row>
    <row r="1009">
      <c r="F1009" s="122"/>
      <c r="G1009" s="122"/>
    </row>
    <row r="1010">
      <c r="F1010" s="122"/>
      <c r="G1010" s="122"/>
    </row>
    <row r="1011">
      <c r="F1011" s="122"/>
      <c r="G1011" s="122"/>
    </row>
    <row r="1012">
      <c r="F1012" s="122"/>
      <c r="G1012" s="122"/>
    </row>
    <row r="1013">
      <c r="F1013" s="122"/>
      <c r="G1013" s="122"/>
    </row>
    <row r="1014">
      <c r="F1014" s="122"/>
      <c r="G1014" s="122"/>
    </row>
    <row r="1015">
      <c r="F1015" s="122"/>
      <c r="G1015" s="122"/>
    </row>
    <row r="1016">
      <c r="F1016" s="122"/>
      <c r="G1016" s="122"/>
    </row>
    <row r="1017">
      <c r="F1017" s="122"/>
      <c r="G1017" s="122"/>
    </row>
    <row r="1018">
      <c r="F1018" s="122"/>
      <c r="G1018" s="122"/>
    </row>
    <row r="1019">
      <c r="F1019" s="122"/>
      <c r="G1019" s="122"/>
    </row>
    <row r="1020">
      <c r="F1020" s="122"/>
      <c r="G1020" s="122"/>
    </row>
    <row r="1021">
      <c r="F1021" s="122"/>
      <c r="G1021" s="122"/>
    </row>
    <row r="1022">
      <c r="F1022" s="122"/>
      <c r="G1022" s="122"/>
    </row>
    <row r="1023">
      <c r="F1023" s="122"/>
      <c r="G1023" s="122"/>
    </row>
    <row r="1024">
      <c r="F1024" s="122"/>
      <c r="G1024" s="122"/>
    </row>
    <row r="1025">
      <c r="F1025" s="122"/>
      <c r="G1025" s="122"/>
    </row>
    <row r="1026">
      <c r="F1026" s="122"/>
      <c r="G1026" s="122"/>
    </row>
    <row r="1027">
      <c r="F1027" s="122"/>
      <c r="G1027" s="122"/>
    </row>
    <row r="1028">
      <c r="F1028" s="122"/>
      <c r="G1028" s="122"/>
    </row>
    <row r="1029">
      <c r="F1029" s="122"/>
      <c r="G1029" s="122"/>
    </row>
    <row r="1030">
      <c r="F1030" s="122"/>
      <c r="G1030" s="122"/>
    </row>
    <row r="1031">
      <c r="F1031" s="122"/>
      <c r="G1031" s="122"/>
    </row>
    <row r="1032">
      <c r="F1032" s="122"/>
      <c r="G1032" s="122"/>
    </row>
    <row r="1033">
      <c r="F1033" s="122"/>
      <c r="G1033" s="122"/>
    </row>
    <row r="1034">
      <c r="F1034" s="122"/>
      <c r="G1034" s="122"/>
    </row>
    <row r="1035">
      <c r="F1035" s="122"/>
      <c r="G1035" s="122"/>
    </row>
    <row r="1036">
      <c r="F1036" s="122"/>
      <c r="G1036" s="122"/>
    </row>
    <row r="1037">
      <c r="F1037" s="122"/>
      <c r="G1037" s="122"/>
    </row>
    <row r="1038">
      <c r="F1038" s="122"/>
      <c r="G1038" s="122"/>
    </row>
    <row r="1039">
      <c r="F1039" s="122"/>
      <c r="G1039" s="122"/>
    </row>
    <row r="1040">
      <c r="F1040" s="122"/>
      <c r="G1040" s="122"/>
    </row>
    <row r="1041">
      <c r="F1041" s="122"/>
      <c r="G1041" s="122"/>
    </row>
    <row r="1042">
      <c r="F1042" s="122"/>
      <c r="G1042" s="122"/>
    </row>
    <row r="1043">
      <c r="F1043" s="122"/>
      <c r="G1043" s="122"/>
    </row>
    <row r="1044">
      <c r="F1044" s="122"/>
      <c r="G1044" s="122"/>
    </row>
    <row r="1045">
      <c r="F1045" s="122"/>
      <c r="G1045" s="122"/>
    </row>
    <row r="1046">
      <c r="F1046" s="122"/>
      <c r="G1046" s="122"/>
    </row>
    <row r="1047">
      <c r="F1047" s="122"/>
      <c r="G1047" s="122"/>
    </row>
    <row r="1048">
      <c r="F1048" s="122"/>
      <c r="G1048" s="122"/>
    </row>
    <row r="1049">
      <c r="F1049" s="122"/>
      <c r="G1049" s="122"/>
    </row>
    <row r="1050">
      <c r="F1050" s="122"/>
      <c r="G1050" s="122"/>
    </row>
    <row r="1051">
      <c r="F1051" s="122"/>
      <c r="G1051" s="122"/>
    </row>
    <row r="1052">
      <c r="F1052" s="122"/>
      <c r="G1052" s="122"/>
    </row>
    <row r="1053">
      <c r="F1053" s="122"/>
      <c r="G1053" s="122"/>
    </row>
    <row r="1054">
      <c r="F1054" s="122"/>
      <c r="G1054" s="122"/>
    </row>
    <row r="1055">
      <c r="F1055" s="122"/>
      <c r="G1055" s="122"/>
    </row>
    <row r="1056">
      <c r="F1056" s="122"/>
      <c r="G1056" s="122"/>
    </row>
    <row r="1057">
      <c r="F1057" s="122"/>
      <c r="G1057" s="122"/>
    </row>
    <row r="1058">
      <c r="F1058" s="122"/>
      <c r="G1058" s="122"/>
    </row>
    <row r="1059">
      <c r="F1059" s="122"/>
      <c r="G1059" s="122"/>
    </row>
    <row r="1060">
      <c r="F1060" s="122"/>
      <c r="G1060" s="122"/>
    </row>
    <row r="1061">
      <c r="F1061" s="122"/>
      <c r="G1061" s="122"/>
    </row>
    <row r="1062">
      <c r="F1062" s="122"/>
      <c r="G1062" s="122"/>
    </row>
    <row r="1063">
      <c r="F1063" s="122"/>
      <c r="G1063" s="122"/>
    </row>
    <row r="1064">
      <c r="F1064" s="122"/>
      <c r="G1064" s="122"/>
    </row>
    <row r="1065">
      <c r="F1065" s="122"/>
      <c r="G1065" s="122"/>
    </row>
    <row r="1066">
      <c r="F1066" s="122"/>
      <c r="G1066" s="122"/>
    </row>
    <row r="1067">
      <c r="F1067" s="122"/>
      <c r="G1067" s="122"/>
    </row>
    <row r="1068">
      <c r="F1068" s="122"/>
      <c r="G1068" s="122"/>
    </row>
    <row r="1069">
      <c r="F1069" s="122"/>
      <c r="G1069" s="122"/>
    </row>
    <row r="1070">
      <c r="F1070" s="122"/>
      <c r="G1070" s="122"/>
    </row>
    <row r="1071">
      <c r="F1071" s="122"/>
      <c r="G1071" s="122"/>
    </row>
    <row r="1072">
      <c r="F1072" s="122"/>
      <c r="G1072" s="122"/>
    </row>
    <row r="1073">
      <c r="F1073" s="122"/>
      <c r="G1073" s="122"/>
    </row>
    <row r="1074">
      <c r="F1074" s="122"/>
      <c r="G1074" s="122"/>
    </row>
    <row r="1075">
      <c r="F1075" s="122"/>
      <c r="G1075" s="122"/>
    </row>
    <row r="1076">
      <c r="F1076" s="122"/>
      <c r="G1076" s="122"/>
    </row>
    <row r="1077">
      <c r="F1077" s="122"/>
      <c r="G1077" s="122"/>
    </row>
    <row r="1078">
      <c r="F1078" s="122"/>
      <c r="G1078" s="122"/>
    </row>
    <row r="1079">
      <c r="F1079" s="122"/>
      <c r="G1079" s="122"/>
    </row>
    <row r="1080">
      <c r="F1080" s="122"/>
      <c r="G1080" s="122"/>
    </row>
    <row r="1081">
      <c r="F1081" s="122"/>
      <c r="G1081" s="122"/>
    </row>
    <row r="1082">
      <c r="F1082" s="122"/>
      <c r="G1082" s="122"/>
    </row>
    <row r="1083">
      <c r="F1083" s="122"/>
      <c r="G1083" s="122"/>
    </row>
    <row r="1084">
      <c r="F1084" s="122"/>
      <c r="G1084" s="122"/>
    </row>
    <row r="1085">
      <c r="F1085" s="122"/>
      <c r="G1085" s="122"/>
    </row>
    <row r="1086">
      <c r="F1086" s="122"/>
      <c r="G1086" s="122"/>
    </row>
    <row r="1087">
      <c r="F1087" s="122"/>
      <c r="G1087" s="122"/>
    </row>
    <row r="1088">
      <c r="F1088" s="122"/>
      <c r="G1088" s="122"/>
    </row>
    <row r="1089">
      <c r="F1089" s="122"/>
      <c r="G1089" s="122"/>
    </row>
    <row r="1090">
      <c r="F1090" s="122"/>
      <c r="G1090" s="122"/>
    </row>
    <row r="1091">
      <c r="F1091" s="122"/>
      <c r="G1091" s="122"/>
    </row>
    <row r="1092">
      <c r="F1092" s="122"/>
      <c r="G1092" s="122"/>
    </row>
    <row r="1093">
      <c r="F1093" s="122"/>
      <c r="G1093" s="122"/>
    </row>
    <row r="1094">
      <c r="F1094" s="122"/>
      <c r="G1094" s="122"/>
    </row>
    <row r="1095">
      <c r="F1095" s="122"/>
      <c r="G1095" s="122"/>
    </row>
    <row r="1096">
      <c r="F1096" s="122"/>
      <c r="G1096" s="122"/>
    </row>
    <row r="1097">
      <c r="F1097" s="122"/>
      <c r="G1097" s="122"/>
    </row>
    <row r="1098">
      <c r="F1098" s="122"/>
      <c r="G1098" s="122"/>
    </row>
    <row r="1099">
      <c r="F1099" s="122"/>
      <c r="G1099" s="122"/>
    </row>
    <row r="1100">
      <c r="F1100" s="122"/>
      <c r="G1100" s="122"/>
    </row>
    <row r="1101">
      <c r="F1101" s="122"/>
      <c r="G1101" s="122"/>
    </row>
    <row r="1102">
      <c r="F1102" s="122"/>
      <c r="G1102" s="122"/>
    </row>
    <row r="1103">
      <c r="F1103" s="122"/>
      <c r="G1103" s="122"/>
    </row>
    <row r="1104">
      <c r="F1104" s="122"/>
      <c r="G1104" s="122"/>
    </row>
    <row r="1105">
      <c r="F1105" s="122"/>
      <c r="G1105" s="122"/>
    </row>
    <row r="1106">
      <c r="F1106" s="122"/>
      <c r="G1106" s="122"/>
    </row>
    <row r="1107">
      <c r="F1107" s="122"/>
      <c r="G1107" s="122"/>
    </row>
    <row r="1108">
      <c r="F1108" s="122"/>
      <c r="G1108" s="122"/>
    </row>
    <row r="1109">
      <c r="F1109" s="122"/>
      <c r="G1109" s="122"/>
    </row>
    <row r="1110">
      <c r="F1110" s="122"/>
      <c r="G1110" s="122"/>
    </row>
    <row r="1111">
      <c r="F1111" s="122"/>
      <c r="G1111" s="122"/>
    </row>
    <row r="1112">
      <c r="F1112" s="122"/>
      <c r="G1112" s="122"/>
    </row>
    <row r="1113">
      <c r="F1113" s="122"/>
      <c r="G1113" s="122"/>
    </row>
    <row r="1114">
      <c r="F1114" s="122"/>
      <c r="G1114" s="122"/>
    </row>
    <row r="1115">
      <c r="F1115" s="122"/>
      <c r="G1115" s="122"/>
    </row>
    <row r="1116">
      <c r="F1116" s="122"/>
      <c r="G1116" s="122"/>
    </row>
    <row r="1117">
      <c r="F1117" s="122"/>
      <c r="G1117" s="122"/>
    </row>
    <row r="1118">
      <c r="F1118" s="122"/>
      <c r="G1118" s="122"/>
    </row>
    <row r="1119">
      <c r="F1119" s="122"/>
      <c r="G1119" s="122"/>
    </row>
    <row r="1120">
      <c r="F1120" s="122"/>
      <c r="G1120" s="122"/>
    </row>
    <row r="1121">
      <c r="F1121" s="122"/>
      <c r="G1121" s="122"/>
    </row>
    <row r="1122">
      <c r="F1122" s="122"/>
      <c r="G1122" s="122"/>
    </row>
    <row r="1123">
      <c r="F1123" s="122"/>
      <c r="G1123" s="122"/>
    </row>
    <row r="1124">
      <c r="F1124" s="122"/>
      <c r="G1124" s="122"/>
    </row>
    <row r="1125">
      <c r="F1125" s="122"/>
      <c r="G1125" s="122"/>
    </row>
    <row r="1126">
      <c r="F1126" s="122"/>
      <c r="G1126" s="122"/>
    </row>
    <row r="1127">
      <c r="F1127" s="122"/>
      <c r="G1127" s="122"/>
    </row>
    <row r="1128">
      <c r="F1128" s="122"/>
      <c r="G1128" s="122"/>
    </row>
    <row r="1129">
      <c r="F1129" s="122"/>
      <c r="G1129" s="122"/>
    </row>
    <row r="1130">
      <c r="F1130" s="122"/>
      <c r="G1130" s="122"/>
    </row>
    <row r="1131">
      <c r="F1131" s="122"/>
      <c r="G1131" s="122"/>
    </row>
    <row r="1132">
      <c r="F1132" s="122"/>
      <c r="G1132" s="122"/>
    </row>
    <row r="1133">
      <c r="F1133" s="122"/>
      <c r="G1133" s="122"/>
    </row>
    <row r="1134">
      <c r="F1134" s="122"/>
      <c r="G1134" s="122"/>
    </row>
    <row r="1135">
      <c r="F1135" s="122"/>
      <c r="G1135" s="122"/>
    </row>
    <row r="1136">
      <c r="F1136" s="122"/>
      <c r="G1136" s="122"/>
    </row>
    <row r="1137">
      <c r="F1137" s="122"/>
      <c r="G1137" s="122"/>
    </row>
    <row r="1138">
      <c r="F1138" s="122"/>
      <c r="G1138" s="122"/>
    </row>
    <row r="1139">
      <c r="F1139" s="122"/>
      <c r="G1139" s="122"/>
    </row>
    <row r="1140">
      <c r="F1140" s="122"/>
      <c r="G1140" s="122"/>
    </row>
    <row r="1141">
      <c r="F1141" s="122"/>
      <c r="G1141" s="122"/>
    </row>
    <row r="1142">
      <c r="F1142" s="122"/>
      <c r="G1142" s="122"/>
    </row>
    <row r="1143">
      <c r="F1143" s="122"/>
      <c r="G1143" s="122"/>
    </row>
    <row r="1144">
      <c r="F1144" s="122"/>
      <c r="G1144" s="122"/>
    </row>
    <row r="1145">
      <c r="F1145" s="122"/>
      <c r="G1145" s="122"/>
    </row>
    <row r="1146">
      <c r="F1146" s="122"/>
      <c r="G1146" s="122"/>
    </row>
    <row r="1147">
      <c r="F1147" s="122"/>
      <c r="G1147" s="122"/>
    </row>
    <row r="1148">
      <c r="F1148" s="122"/>
      <c r="G1148" s="122"/>
    </row>
    <row r="1149">
      <c r="F1149" s="122"/>
      <c r="G1149" s="122"/>
    </row>
    <row r="1150">
      <c r="F1150" s="122"/>
      <c r="G1150" s="122"/>
    </row>
    <row r="1151">
      <c r="F1151" s="122"/>
      <c r="G1151" s="122"/>
    </row>
    <row r="1152">
      <c r="F1152" s="122"/>
      <c r="G1152" s="122"/>
    </row>
    <row r="1153">
      <c r="F1153" s="122"/>
      <c r="G1153" s="122"/>
    </row>
    <row r="1154">
      <c r="F1154" s="122"/>
      <c r="G1154" s="122"/>
    </row>
    <row r="1155">
      <c r="F1155" s="122"/>
      <c r="G1155" s="122"/>
    </row>
    <row r="1156">
      <c r="F1156" s="122"/>
      <c r="G1156" s="122"/>
    </row>
    <row r="1157">
      <c r="F1157" s="122"/>
      <c r="G1157" s="122"/>
    </row>
    <row r="1158">
      <c r="F1158" s="122"/>
      <c r="G1158" s="122"/>
    </row>
    <row r="1159">
      <c r="F1159" s="122"/>
      <c r="G1159" s="122"/>
    </row>
    <row r="1160">
      <c r="F1160" s="122"/>
      <c r="G1160" s="122"/>
    </row>
    <row r="1161">
      <c r="F1161" s="122"/>
      <c r="G1161" s="122"/>
    </row>
    <row r="1162">
      <c r="F1162" s="122"/>
      <c r="G1162" s="122"/>
    </row>
    <row r="1163">
      <c r="F1163" s="122"/>
      <c r="G1163" s="122"/>
    </row>
    <row r="1164">
      <c r="F1164" s="122"/>
      <c r="G1164" s="122"/>
    </row>
    <row r="1165">
      <c r="F1165" s="122"/>
      <c r="G1165" s="122"/>
    </row>
    <row r="1166">
      <c r="F1166" s="122"/>
      <c r="G1166" s="122"/>
    </row>
    <row r="1167">
      <c r="F1167" s="122"/>
      <c r="G1167" s="122"/>
    </row>
    <row r="1168">
      <c r="F1168" s="122"/>
      <c r="G1168" s="122"/>
    </row>
    <row r="1169">
      <c r="F1169" s="122"/>
      <c r="G1169" s="122"/>
    </row>
    <row r="1170">
      <c r="F1170" s="122"/>
      <c r="G1170" s="122"/>
    </row>
    <row r="1171">
      <c r="F1171" s="122"/>
      <c r="G1171" s="122"/>
    </row>
    <row r="1172">
      <c r="F1172" s="122"/>
      <c r="G1172" s="122"/>
    </row>
    <row r="1173">
      <c r="F1173" s="122"/>
      <c r="G1173" s="122"/>
    </row>
    <row r="1174">
      <c r="F1174" s="122"/>
      <c r="G1174" s="122"/>
    </row>
    <row r="1175">
      <c r="F1175" s="122"/>
      <c r="G1175" s="122"/>
    </row>
    <row r="1176">
      <c r="F1176" s="122"/>
      <c r="G1176" s="122"/>
    </row>
    <row r="1177">
      <c r="F1177" s="122"/>
      <c r="G1177" s="122"/>
    </row>
    <row r="1178">
      <c r="F1178" s="122"/>
      <c r="G1178" s="122"/>
    </row>
    <row r="1179">
      <c r="F1179" s="122"/>
      <c r="G1179" s="122"/>
    </row>
    <row r="1180">
      <c r="F1180" s="122"/>
      <c r="G1180" s="122"/>
    </row>
    <row r="1181">
      <c r="F1181" s="122"/>
      <c r="G1181" s="122"/>
    </row>
    <row r="1182">
      <c r="F1182" s="122"/>
      <c r="G1182" s="122"/>
    </row>
    <row r="1183">
      <c r="F1183" s="122"/>
      <c r="G1183" s="122"/>
    </row>
    <row r="1184">
      <c r="F1184" s="122"/>
      <c r="G1184" s="122"/>
    </row>
    <row r="1185">
      <c r="F1185" s="122"/>
      <c r="G1185" s="122"/>
    </row>
    <row r="1186">
      <c r="F1186" s="122"/>
      <c r="G1186" s="122"/>
    </row>
    <row r="1187">
      <c r="F1187" s="122"/>
      <c r="G1187" s="122"/>
    </row>
    <row r="1188">
      <c r="F1188" s="122"/>
      <c r="G1188" s="122"/>
    </row>
    <row r="1189">
      <c r="F1189" s="122"/>
      <c r="G1189" s="122"/>
    </row>
    <row r="1190">
      <c r="F1190" s="122"/>
      <c r="G1190" s="122"/>
    </row>
    <row r="1191">
      <c r="F1191" s="122"/>
      <c r="G1191" s="122"/>
    </row>
    <row r="1192">
      <c r="F1192" s="122"/>
      <c r="G1192" s="122"/>
    </row>
    <row r="1193">
      <c r="F1193" s="122"/>
      <c r="G1193" s="122"/>
    </row>
    <row r="1194">
      <c r="F1194" s="122"/>
      <c r="G1194" s="122"/>
    </row>
    <row r="1195">
      <c r="F1195" s="122"/>
      <c r="G1195" s="122"/>
    </row>
    <row r="1196">
      <c r="F1196" s="122"/>
      <c r="G1196" s="122"/>
    </row>
    <row r="1197">
      <c r="F1197" s="122"/>
      <c r="G1197" s="122"/>
    </row>
    <row r="1198">
      <c r="F1198" s="122"/>
      <c r="G1198" s="122"/>
    </row>
    <row r="1199">
      <c r="F1199" s="122"/>
      <c r="G1199" s="122"/>
    </row>
    <row r="1200">
      <c r="F1200" s="122"/>
      <c r="G1200" s="122"/>
    </row>
    <row r="1201">
      <c r="F1201" s="122"/>
      <c r="G1201" s="122"/>
    </row>
    <row r="1202">
      <c r="F1202" s="122"/>
      <c r="G1202" s="122"/>
    </row>
    <row r="1203">
      <c r="F1203" s="122"/>
      <c r="G1203" s="122"/>
    </row>
    <row r="1204">
      <c r="F1204" s="122"/>
      <c r="G1204" s="122"/>
    </row>
    <row r="1205">
      <c r="F1205" s="122"/>
      <c r="G1205" s="122"/>
    </row>
    <row r="1206">
      <c r="F1206" s="122"/>
      <c r="G1206" s="122"/>
    </row>
    <row r="1207">
      <c r="F1207" s="122"/>
      <c r="G1207" s="122"/>
    </row>
    <row r="1208">
      <c r="F1208" s="122"/>
      <c r="G1208" s="122"/>
    </row>
    <row r="1209">
      <c r="F1209" s="122"/>
      <c r="G1209" s="122"/>
    </row>
    <row r="1210">
      <c r="F1210" s="122"/>
      <c r="G1210" s="122"/>
    </row>
    <row r="1211">
      <c r="F1211" s="122"/>
      <c r="G1211" s="122"/>
    </row>
    <row r="1212">
      <c r="F1212" s="122"/>
      <c r="G1212" s="122"/>
    </row>
    <row r="1213">
      <c r="F1213" s="122"/>
      <c r="G1213" s="122"/>
    </row>
    <row r="1214">
      <c r="F1214" s="122"/>
      <c r="G1214" s="122"/>
    </row>
    <row r="1215">
      <c r="F1215" s="122"/>
      <c r="G1215" s="122"/>
    </row>
    <row r="1216">
      <c r="F1216" s="122"/>
      <c r="G1216" s="122"/>
    </row>
    <row r="1217">
      <c r="F1217" s="122"/>
      <c r="G1217" s="122"/>
    </row>
    <row r="1218">
      <c r="F1218" s="122"/>
      <c r="G1218" s="122"/>
    </row>
    <row r="1219">
      <c r="F1219" s="122"/>
      <c r="G1219" s="122"/>
    </row>
    <row r="1220">
      <c r="F1220" s="122"/>
      <c r="G1220" s="122"/>
    </row>
    <row r="1221">
      <c r="F1221" s="122"/>
      <c r="G1221" s="122"/>
    </row>
    <row r="1222">
      <c r="F1222" s="122"/>
      <c r="G1222" s="122"/>
    </row>
    <row r="1223">
      <c r="F1223" s="122"/>
      <c r="G1223" s="122"/>
    </row>
    <row r="1224">
      <c r="F1224" s="122"/>
      <c r="G1224" s="122"/>
    </row>
    <row r="1225">
      <c r="F1225" s="122"/>
      <c r="G1225" s="122"/>
    </row>
    <row r="1226">
      <c r="F1226" s="122"/>
      <c r="G1226" s="122"/>
    </row>
    <row r="1227">
      <c r="F1227" s="122"/>
      <c r="G1227" s="122"/>
    </row>
    <row r="1228">
      <c r="F1228" s="122"/>
      <c r="G1228" s="122"/>
    </row>
    <row r="1229">
      <c r="F1229" s="122"/>
      <c r="G1229" s="122"/>
    </row>
    <row r="1230">
      <c r="F1230" s="122"/>
      <c r="G1230" s="122"/>
    </row>
    <row r="1231">
      <c r="F1231" s="122"/>
      <c r="G1231" s="122"/>
    </row>
    <row r="1232">
      <c r="F1232" s="122"/>
      <c r="G1232" s="122"/>
    </row>
    <row r="1233">
      <c r="F1233" s="122"/>
      <c r="G1233" s="122"/>
    </row>
    <row r="1234">
      <c r="F1234" s="122"/>
      <c r="G1234" s="122"/>
    </row>
    <row r="1235">
      <c r="F1235" s="122"/>
      <c r="G1235" s="122"/>
    </row>
    <row r="1236">
      <c r="F1236" s="122"/>
      <c r="G1236" s="122"/>
    </row>
    <row r="1237">
      <c r="F1237" s="122"/>
      <c r="G1237" s="122"/>
    </row>
    <row r="1238">
      <c r="F1238" s="122"/>
      <c r="G1238" s="122"/>
    </row>
    <row r="1239">
      <c r="F1239" s="122"/>
      <c r="G1239" s="122"/>
    </row>
    <row r="1240">
      <c r="F1240" s="122"/>
      <c r="G1240" s="122"/>
    </row>
    <row r="1241">
      <c r="F1241" s="122"/>
      <c r="G1241" s="122"/>
    </row>
    <row r="1242">
      <c r="F1242" s="122"/>
      <c r="G1242" s="122"/>
    </row>
    <row r="1243">
      <c r="F1243" s="122"/>
      <c r="G1243" s="122"/>
    </row>
    <row r="1244">
      <c r="F1244" s="122"/>
      <c r="G1244" s="122"/>
    </row>
    <row r="1245">
      <c r="F1245" s="122"/>
      <c r="G1245" s="122"/>
    </row>
    <row r="1246">
      <c r="F1246" s="122"/>
      <c r="G1246" s="122"/>
    </row>
    <row r="1247">
      <c r="F1247" s="122"/>
      <c r="G1247" s="122"/>
    </row>
    <row r="1248">
      <c r="F1248" s="122"/>
      <c r="G1248" s="122"/>
    </row>
    <row r="1249">
      <c r="F1249" s="122"/>
      <c r="G1249" s="122"/>
    </row>
    <row r="1250">
      <c r="F1250" s="122"/>
      <c r="G1250" s="122"/>
    </row>
    <row r="1251">
      <c r="F1251" s="122"/>
      <c r="G1251" s="122"/>
    </row>
    <row r="1252">
      <c r="F1252" s="122"/>
      <c r="G1252" s="122"/>
    </row>
    <row r="1253">
      <c r="F1253" s="122"/>
      <c r="G1253" s="122"/>
    </row>
    <row r="1254">
      <c r="F1254" s="122"/>
      <c r="G1254" s="122"/>
    </row>
    <row r="1255">
      <c r="F1255" s="122"/>
      <c r="G1255" s="122"/>
    </row>
    <row r="1256">
      <c r="F1256" s="122"/>
      <c r="G1256" s="122"/>
    </row>
    <row r="1257">
      <c r="F1257" s="122"/>
      <c r="G1257" s="122"/>
    </row>
    <row r="1258">
      <c r="F1258" s="122"/>
      <c r="G1258" s="122"/>
    </row>
    <row r="1259">
      <c r="F1259" s="122"/>
      <c r="G1259" s="122"/>
    </row>
  </sheetData>
  <mergeCells count="100">
    <mergeCell ref="A38:H38"/>
    <mergeCell ref="A51:G51"/>
    <mergeCell ref="A144:G144"/>
    <mergeCell ref="A161:G161"/>
    <mergeCell ref="A178:G178"/>
    <mergeCell ref="A185:G185"/>
    <mergeCell ref="A187:H187"/>
    <mergeCell ref="A201:G201"/>
    <mergeCell ref="A209:G209"/>
    <mergeCell ref="A217:G217"/>
    <mergeCell ref="A225:G225"/>
    <mergeCell ref="A233:G233"/>
    <mergeCell ref="A241:G241"/>
    <mergeCell ref="A249:G249"/>
    <mergeCell ref="A257:G257"/>
    <mergeCell ref="A265:G265"/>
    <mergeCell ref="A273:G273"/>
    <mergeCell ref="A275:H275"/>
    <mergeCell ref="A284:G284"/>
    <mergeCell ref="A293:G293"/>
    <mergeCell ref="A302:G302"/>
    <mergeCell ref="A311:G311"/>
    <mergeCell ref="A320:G320"/>
    <mergeCell ref="A329:G329"/>
    <mergeCell ref="A338:G338"/>
    <mergeCell ref="A347:G347"/>
    <mergeCell ref="A356:G356"/>
    <mergeCell ref="A365:G365"/>
    <mergeCell ref="A367:H367"/>
    <mergeCell ref="A375:G375"/>
    <mergeCell ref="A384:G384"/>
    <mergeCell ref="A393:G393"/>
    <mergeCell ref="A402:G402"/>
    <mergeCell ref="A411:G411"/>
    <mergeCell ref="A420:G420"/>
    <mergeCell ref="A429:G429"/>
    <mergeCell ref="A438:G438"/>
    <mergeCell ref="A127:G127"/>
    <mergeCell ref="A1:H2"/>
    <mergeCell ref="A111:H113"/>
    <mergeCell ref="A18:H18"/>
    <mergeCell ref="A26:G26"/>
    <mergeCell ref="A52:H52"/>
    <mergeCell ref="A53:H53"/>
    <mergeCell ref="A66:G66"/>
    <mergeCell ref="A67:H67"/>
    <mergeCell ref="A68:H68"/>
    <mergeCell ref="A69:H69"/>
    <mergeCell ref="A73:G73"/>
    <mergeCell ref="A75:H75"/>
    <mergeCell ref="A76:H76"/>
    <mergeCell ref="A77:H77"/>
    <mergeCell ref="A85:G85"/>
    <mergeCell ref="A86:H86"/>
    <mergeCell ref="A36:H36"/>
    <mergeCell ref="A37:H37"/>
    <mergeCell ref="A87:H87"/>
    <mergeCell ref="A93:G93"/>
    <mergeCell ref="A94:G94"/>
    <mergeCell ref="A95:H95"/>
    <mergeCell ref="A96:H96"/>
    <mergeCell ref="A97:H97"/>
    <mergeCell ref="A98:H98"/>
    <mergeCell ref="A102:G102"/>
    <mergeCell ref="A103:G103"/>
    <mergeCell ref="A104:H104"/>
    <mergeCell ref="A105:H105"/>
    <mergeCell ref="A106:H106"/>
    <mergeCell ref="A447:G447"/>
    <mergeCell ref="A456:G456"/>
    <mergeCell ref="A458:H458"/>
    <mergeCell ref="A465:G465"/>
    <mergeCell ref="A473:G473"/>
    <mergeCell ref="A481:G481"/>
    <mergeCell ref="A489:G489"/>
    <mergeCell ref="A542:B542"/>
    <mergeCell ref="A548:G548"/>
    <mergeCell ref="E550:G550"/>
    <mergeCell ref="A555:G555"/>
    <mergeCell ref="A556:H556"/>
    <mergeCell ref="A557:H559"/>
    <mergeCell ref="A497:G497"/>
    <mergeCell ref="A505:G505"/>
    <mergeCell ref="A513:G513"/>
    <mergeCell ref="A521:G521"/>
    <mergeCell ref="A529:G529"/>
    <mergeCell ref="A537:G537"/>
    <mergeCell ref="E539:G539"/>
    <mergeCell ref="A3:H3"/>
    <mergeCell ref="A4:H4"/>
    <mergeCell ref="A5:H5"/>
    <mergeCell ref="A6:H6"/>
    <mergeCell ref="A16:G16"/>
    <mergeCell ref="A17:H17"/>
    <mergeCell ref="A28:H28"/>
    <mergeCell ref="A29:H29"/>
    <mergeCell ref="A30:H30"/>
    <mergeCell ref="A35:G35"/>
    <mergeCell ref="A109:G109"/>
    <mergeCell ref="A110:H110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21.63"/>
    <col customWidth="1" min="5" max="7" width="26.38"/>
  </cols>
  <sheetData>
    <row r="1" ht="15.75" customHeight="1">
      <c r="A1" s="235" t="s">
        <v>224</v>
      </c>
      <c r="B1" s="9"/>
      <c r="C1" s="9"/>
      <c r="D1" s="9"/>
      <c r="E1" s="9"/>
      <c r="F1" s="9"/>
      <c r="G1" s="10"/>
    </row>
    <row r="2" ht="15.75" customHeight="1">
      <c r="A2" s="11"/>
      <c r="B2" s="12"/>
      <c r="C2" s="12"/>
      <c r="D2" s="12"/>
      <c r="E2" s="12"/>
      <c r="F2" s="12"/>
      <c r="G2" s="13"/>
    </row>
    <row r="3" ht="15.75" customHeight="1">
      <c r="A3" s="236" t="s">
        <v>225</v>
      </c>
      <c r="B3" s="236" t="s">
        <v>226</v>
      </c>
      <c r="C3" s="236" t="s">
        <v>227</v>
      </c>
      <c r="D3" s="236" t="s">
        <v>228</v>
      </c>
      <c r="E3" s="236" t="s">
        <v>229</v>
      </c>
      <c r="F3" s="236" t="s">
        <v>230</v>
      </c>
      <c r="G3" s="236" t="s">
        <v>231</v>
      </c>
    </row>
    <row r="4" ht="15.75" customHeight="1">
      <c r="A4" s="237"/>
      <c r="B4" s="238"/>
      <c r="C4" s="239"/>
      <c r="D4" s="240"/>
      <c r="E4" s="241"/>
      <c r="F4" s="242"/>
      <c r="G4" s="243"/>
    </row>
    <row r="5" ht="15.75" customHeight="1">
      <c r="A5" s="237"/>
      <c r="B5" s="238"/>
      <c r="C5" s="239"/>
      <c r="D5" s="240"/>
      <c r="E5" s="244"/>
      <c r="F5" s="242"/>
      <c r="G5" s="243"/>
    </row>
    <row r="6" ht="15.75" customHeight="1">
      <c r="A6" s="237"/>
      <c r="B6" s="238"/>
      <c r="C6" s="239"/>
      <c r="D6" s="240"/>
      <c r="E6" s="241"/>
      <c r="F6" s="242"/>
      <c r="G6" s="243"/>
    </row>
    <row r="7" ht="15.75" customHeight="1">
      <c r="A7" s="237"/>
      <c r="B7" s="238"/>
      <c r="C7" s="239"/>
      <c r="D7" s="240"/>
      <c r="E7" s="244"/>
      <c r="F7" s="242"/>
      <c r="G7" s="243"/>
    </row>
    <row r="8" ht="15.75" customHeight="1">
      <c r="A8" s="237"/>
      <c r="B8" s="238"/>
      <c r="C8" s="239"/>
      <c r="D8" s="240"/>
      <c r="E8" s="244"/>
      <c r="F8" s="242"/>
      <c r="G8" s="243"/>
    </row>
    <row r="9" ht="15.75" customHeight="1">
      <c r="A9" s="237"/>
      <c r="B9" s="238"/>
      <c r="C9" s="239"/>
      <c r="D9" s="240"/>
      <c r="E9" s="244"/>
      <c r="F9" s="242"/>
      <c r="G9" s="243"/>
    </row>
    <row r="10" ht="15.75" customHeight="1">
      <c r="A10" s="237"/>
      <c r="B10" s="238"/>
      <c r="C10" s="239"/>
      <c r="D10" s="240"/>
      <c r="E10" s="244"/>
      <c r="F10" s="242"/>
      <c r="G10" s="243"/>
    </row>
    <row r="11" ht="15.75" customHeight="1">
      <c r="A11" s="237"/>
      <c r="B11" s="238"/>
      <c r="C11" s="239"/>
      <c r="D11" s="240"/>
      <c r="E11" s="244"/>
      <c r="F11" s="242"/>
      <c r="G11" s="243"/>
    </row>
    <row r="12" ht="15.75" customHeight="1">
      <c r="A12" s="237"/>
      <c r="B12" s="238"/>
      <c r="C12" s="239"/>
      <c r="D12" s="240"/>
      <c r="E12" s="244"/>
      <c r="F12" s="242"/>
      <c r="G12" s="243"/>
    </row>
    <row r="13" ht="15.75" customHeight="1">
      <c r="A13" s="237"/>
      <c r="B13" s="238"/>
      <c r="C13" s="239"/>
      <c r="D13" s="240"/>
      <c r="E13" s="244"/>
      <c r="F13" s="242"/>
      <c r="G13" s="243"/>
    </row>
    <row r="14" ht="15.75" customHeight="1">
      <c r="A14" s="237"/>
      <c r="B14" s="238"/>
      <c r="C14" s="239"/>
      <c r="D14" s="240"/>
      <c r="E14" s="244"/>
      <c r="F14" s="242"/>
      <c r="G14" s="243"/>
    </row>
    <row r="15" ht="15.75" customHeight="1">
      <c r="A15" s="237"/>
      <c r="B15" s="238"/>
      <c r="C15" s="239"/>
      <c r="D15" s="240"/>
      <c r="E15" s="244"/>
      <c r="F15" s="242"/>
      <c r="G15" s="243"/>
    </row>
    <row r="16" ht="15.75" customHeight="1">
      <c r="A16" s="237"/>
      <c r="B16" s="238"/>
      <c r="C16" s="239"/>
      <c r="D16" s="240"/>
      <c r="E16" s="244"/>
      <c r="F16" s="242"/>
      <c r="G16" s="243"/>
    </row>
    <row r="17" ht="15.75" customHeight="1">
      <c r="A17" s="237"/>
      <c r="B17" s="238"/>
      <c r="C17" s="239"/>
      <c r="D17" s="240"/>
      <c r="E17" s="244"/>
      <c r="F17" s="242"/>
      <c r="G17" s="243"/>
    </row>
    <row r="18" ht="15.75" customHeight="1">
      <c r="A18" s="237"/>
      <c r="B18" s="238"/>
      <c r="C18" s="239"/>
      <c r="D18" s="240"/>
      <c r="E18" s="244"/>
      <c r="F18" s="242"/>
      <c r="G18" s="243"/>
    </row>
    <row r="19" ht="15.75" customHeight="1">
      <c r="A19" s="237"/>
      <c r="B19" s="238"/>
      <c r="C19" s="239"/>
      <c r="D19" s="240"/>
      <c r="E19" s="244"/>
      <c r="F19" s="242"/>
      <c r="G19" s="243"/>
    </row>
    <row r="20" ht="15.75" customHeight="1">
      <c r="A20" s="237"/>
      <c r="B20" s="238"/>
      <c r="C20" s="239"/>
      <c r="D20" s="240"/>
      <c r="E20" s="244"/>
      <c r="F20" s="242"/>
      <c r="G20" s="243"/>
    </row>
    <row r="21" ht="15.75" customHeight="1">
      <c r="A21" s="237"/>
      <c r="B21" s="238"/>
      <c r="C21" s="239"/>
      <c r="D21" s="240"/>
      <c r="E21" s="244"/>
      <c r="F21" s="242"/>
      <c r="G21" s="243"/>
    </row>
    <row r="22" ht="15.75" customHeight="1">
      <c r="A22" s="237"/>
      <c r="B22" s="238"/>
      <c r="C22" s="239"/>
      <c r="D22" s="240"/>
      <c r="E22" s="244"/>
      <c r="F22" s="242"/>
      <c r="G22" s="243"/>
    </row>
    <row r="23" ht="15.75" customHeight="1">
      <c r="A23" s="237"/>
      <c r="B23" s="238"/>
      <c r="C23" s="239"/>
      <c r="D23" s="240"/>
      <c r="E23" s="244"/>
      <c r="F23" s="242"/>
      <c r="G23" s="243"/>
    </row>
    <row r="24" ht="15.75" customHeight="1">
      <c r="A24" s="237"/>
      <c r="B24" s="238"/>
      <c r="C24" s="239"/>
      <c r="D24" s="240"/>
      <c r="E24" s="244"/>
      <c r="F24" s="242"/>
      <c r="G24" s="243"/>
    </row>
    <row r="25" ht="15.75" customHeight="1">
      <c r="A25" s="237"/>
      <c r="B25" s="238"/>
      <c r="C25" s="239"/>
      <c r="D25" s="240"/>
      <c r="E25" s="244"/>
      <c r="F25" s="242"/>
      <c r="G25" s="243"/>
    </row>
    <row r="26" ht="15.75" customHeight="1">
      <c r="A26" s="237"/>
      <c r="B26" s="238"/>
      <c r="C26" s="239"/>
      <c r="D26" s="240"/>
      <c r="E26" s="244"/>
      <c r="F26" s="242"/>
      <c r="G26" s="243"/>
    </row>
    <row r="27" ht="15.75" customHeight="1">
      <c r="A27" s="237"/>
      <c r="B27" s="238"/>
      <c r="C27" s="239"/>
      <c r="D27" s="240"/>
      <c r="E27" s="244"/>
      <c r="F27" s="242"/>
      <c r="G27" s="243"/>
    </row>
    <row r="28" ht="15.75" customHeight="1">
      <c r="A28" s="237"/>
      <c r="B28" s="238"/>
      <c r="C28" s="239"/>
      <c r="D28" s="240"/>
      <c r="E28" s="244"/>
      <c r="F28" s="242"/>
      <c r="G28" s="243"/>
    </row>
    <row r="29" ht="15.75" customHeight="1">
      <c r="A29" s="237"/>
      <c r="B29" s="238"/>
      <c r="C29" s="239"/>
      <c r="D29" s="240"/>
      <c r="E29" s="244"/>
      <c r="F29" s="242"/>
      <c r="G29" s="243"/>
    </row>
    <row r="30" ht="15.75" customHeight="1">
      <c r="A30" s="237"/>
      <c r="B30" s="238"/>
      <c r="C30" s="239"/>
      <c r="D30" s="240"/>
      <c r="E30" s="244"/>
      <c r="F30" s="242"/>
      <c r="G30" s="243"/>
    </row>
    <row r="31" ht="15.75" customHeight="1">
      <c r="A31" s="237"/>
      <c r="B31" s="238"/>
      <c r="C31" s="239"/>
      <c r="D31" s="240"/>
      <c r="E31" s="244"/>
      <c r="F31" s="242"/>
      <c r="G31" s="243"/>
    </row>
    <row r="32" ht="15.75" customHeight="1">
      <c r="A32" s="237"/>
      <c r="B32" s="238"/>
      <c r="C32" s="239"/>
      <c r="D32" s="240"/>
      <c r="E32" s="244"/>
      <c r="F32" s="242"/>
      <c r="G32" s="24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75"/>
    <col customWidth="1" min="2" max="2" width="12.75"/>
    <col customWidth="1" min="3" max="3" width="12.0"/>
    <col customWidth="1" min="4" max="4" width="6.25"/>
    <col customWidth="1" min="5" max="5" width="24.75"/>
  </cols>
  <sheetData>
    <row r="1" ht="15.75" customHeight="1">
      <c r="A1" s="245" t="s">
        <v>232</v>
      </c>
      <c r="B1" s="246" t="s">
        <v>232</v>
      </c>
      <c r="E1" s="245" t="s">
        <v>233</v>
      </c>
      <c r="F1" s="246" t="s">
        <v>233</v>
      </c>
    </row>
    <row r="2" ht="15.75" customHeight="1">
      <c r="A2" s="245" t="s">
        <v>234</v>
      </c>
      <c r="B2" s="246" t="s">
        <v>235</v>
      </c>
      <c r="E2" s="245" t="s">
        <v>234</v>
      </c>
      <c r="F2" s="246" t="s">
        <v>235</v>
      </c>
    </row>
    <row r="3" ht="15.75" customHeight="1">
      <c r="A3" s="247" t="s">
        <v>236</v>
      </c>
      <c r="B3" s="248">
        <v>1.0</v>
      </c>
      <c r="E3" s="247" t="s">
        <v>236</v>
      </c>
      <c r="F3" s="248">
        <v>1.0</v>
      </c>
    </row>
    <row r="4" ht="15.75" customHeight="1">
      <c r="A4" s="249" t="s">
        <v>237</v>
      </c>
      <c r="B4" s="250">
        <v>1.0</v>
      </c>
      <c r="E4" s="249" t="s">
        <v>237</v>
      </c>
      <c r="F4" s="250">
        <v>1.0</v>
      </c>
    </row>
    <row r="5" ht="15.75" customHeight="1">
      <c r="A5" s="249" t="s">
        <v>238</v>
      </c>
      <c r="B5" s="250">
        <v>1.0</v>
      </c>
      <c r="E5" s="249" t="s">
        <v>238</v>
      </c>
      <c r="F5" s="250">
        <v>1.0</v>
      </c>
    </row>
    <row r="6" ht="15.75" customHeight="1">
      <c r="A6" s="249" t="s">
        <v>239</v>
      </c>
      <c r="B6" s="250">
        <v>1.0</v>
      </c>
      <c r="E6" s="249" t="s">
        <v>239</v>
      </c>
      <c r="F6" s="250">
        <v>1.0</v>
      </c>
    </row>
    <row r="7" ht="15.75" customHeight="1">
      <c r="A7" s="249" t="s">
        <v>240</v>
      </c>
      <c r="B7" s="250">
        <v>1.0</v>
      </c>
      <c r="E7" s="249" t="s">
        <v>240</v>
      </c>
      <c r="F7" s="250">
        <v>1.0</v>
      </c>
    </row>
    <row r="8" ht="15.75" customHeight="1">
      <c r="A8" s="249" t="s">
        <v>241</v>
      </c>
      <c r="B8" s="250">
        <v>1.0</v>
      </c>
      <c r="E8" s="249" t="s">
        <v>241</v>
      </c>
      <c r="F8" s="250">
        <v>1.0</v>
      </c>
    </row>
    <row r="9" ht="15.75" customHeight="1">
      <c r="A9" s="249" t="s">
        <v>242</v>
      </c>
      <c r="B9" s="250">
        <v>1.0</v>
      </c>
      <c r="E9" s="249" t="s">
        <v>242</v>
      </c>
      <c r="F9" s="250">
        <v>1.0</v>
      </c>
    </row>
    <row r="10" ht="15.75" customHeight="1">
      <c r="A10" s="251" t="s">
        <v>243</v>
      </c>
      <c r="B10" s="252">
        <v>1.0</v>
      </c>
      <c r="E10" s="251" t="s">
        <v>243</v>
      </c>
      <c r="F10" s="252">
        <v>1.0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75"/>
    <col customWidth="1" min="2" max="2" width="12.75"/>
    <col customWidth="1" min="3" max="3" width="12.0"/>
    <col customWidth="1" min="4" max="4" width="6.25"/>
    <col customWidth="1" min="5" max="5" width="24.75"/>
    <col customWidth="1" min="6" max="6" width="5.38"/>
    <col customWidth="1" min="7" max="7" width="24.75"/>
    <col customWidth="1" min="8" max="8" width="18.88"/>
  </cols>
  <sheetData>
    <row r="1" ht="15.75" customHeight="1">
      <c r="A1" s="245" t="s">
        <v>244</v>
      </c>
      <c r="B1" s="253"/>
      <c r="C1" s="246" t="s">
        <v>232</v>
      </c>
      <c r="G1" s="245" t="s">
        <v>233</v>
      </c>
      <c r="H1" s="253"/>
      <c r="I1" s="246" t="s">
        <v>233</v>
      </c>
    </row>
    <row r="2" ht="15.75" customHeight="1">
      <c r="A2" s="245" t="s">
        <v>245</v>
      </c>
      <c r="B2" s="245" t="s">
        <v>234</v>
      </c>
      <c r="C2" s="246" t="s">
        <v>235</v>
      </c>
      <c r="E2" s="254"/>
      <c r="F2" s="254"/>
      <c r="G2" s="245" t="s">
        <v>245</v>
      </c>
      <c r="H2" s="245" t="s">
        <v>234</v>
      </c>
      <c r="I2" s="246" t="s">
        <v>235</v>
      </c>
    </row>
    <row r="3" ht="15.75" customHeight="1">
      <c r="A3" s="245" t="s">
        <v>246</v>
      </c>
      <c r="B3" s="247" t="s">
        <v>247</v>
      </c>
      <c r="C3" s="248">
        <v>1.0</v>
      </c>
      <c r="G3" s="245" t="s">
        <v>246</v>
      </c>
      <c r="H3" s="247" t="s">
        <v>247</v>
      </c>
      <c r="I3" s="248">
        <v>1.0</v>
      </c>
    </row>
    <row r="4" ht="15.75" customHeight="1">
      <c r="A4" s="245" t="s">
        <v>248</v>
      </c>
      <c r="B4" s="253"/>
      <c r="C4" s="248">
        <v>1.0</v>
      </c>
      <c r="G4" s="245" t="s">
        <v>248</v>
      </c>
      <c r="H4" s="253"/>
      <c r="I4" s="248">
        <v>1.0</v>
      </c>
    </row>
    <row r="5" ht="15.75" customHeight="1">
      <c r="A5" s="245" t="s">
        <v>249</v>
      </c>
      <c r="B5" s="247" t="s">
        <v>250</v>
      </c>
      <c r="C5" s="248">
        <v>1.0</v>
      </c>
      <c r="G5" s="245" t="s">
        <v>249</v>
      </c>
      <c r="H5" s="247" t="s">
        <v>250</v>
      </c>
      <c r="I5" s="248">
        <v>1.0</v>
      </c>
    </row>
    <row r="6" ht="15.75" customHeight="1">
      <c r="A6" s="245" t="s">
        <v>251</v>
      </c>
      <c r="B6" s="253"/>
      <c r="C6" s="248">
        <v>1.0</v>
      </c>
      <c r="G6" s="245" t="s">
        <v>251</v>
      </c>
      <c r="H6" s="253"/>
      <c r="I6" s="248">
        <v>1.0</v>
      </c>
    </row>
    <row r="7" ht="15.75" customHeight="1">
      <c r="A7" s="245" t="s">
        <v>252</v>
      </c>
      <c r="B7" s="247" t="s">
        <v>252</v>
      </c>
      <c r="C7" s="248">
        <v>1.0</v>
      </c>
      <c r="G7" s="245" t="s">
        <v>252</v>
      </c>
      <c r="H7" s="247" t="s">
        <v>252</v>
      </c>
      <c r="I7" s="248">
        <v>1.0</v>
      </c>
    </row>
    <row r="8" ht="15.75" customHeight="1">
      <c r="A8" s="245" t="s">
        <v>253</v>
      </c>
      <c r="B8" s="253"/>
      <c r="C8" s="248">
        <v>1.0</v>
      </c>
      <c r="G8" s="245" t="s">
        <v>253</v>
      </c>
      <c r="H8" s="253"/>
      <c r="I8" s="248">
        <v>1.0</v>
      </c>
    </row>
    <row r="9" ht="15.75" customHeight="1">
      <c r="A9" s="255" t="s">
        <v>243</v>
      </c>
      <c r="B9" s="256"/>
      <c r="C9" s="252">
        <v>1.0</v>
      </c>
      <c r="G9" s="255" t="s">
        <v>243</v>
      </c>
      <c r="H9" s="256"/>
      <c r="I9" s="252">
        <v>1.0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